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NTEL\Desktop\VALIDACION\"/>
    </mc:Choice>
  </mc:AlternateContent>
  <bookViews>
    <workbookView xWindow="-120" yWindow="-120" windowWidth="29040" windowHeight="15720" activeTab="2"/>
  </bookViews>
  <sheets>
    <sheet name="Token" sheetId="3" r:id="rId1"/>
    <sheet name="R. COMPRAS" sheetId="6" r:id="rId2"/>
    <sheet name="Individual" sheetId="1" r:id="rId3"/>
    <sheet name="Masivo" sheetId="4" r:id="rId4"/>
    <sheet name="Leyenda" sheetId="2" r:id="rId5"/>
    <sheet name="DETRACCION" sheetId="7" r:id="rId6"/>
    <sheet name="Autor" sheetId="5" state="hidden" r:id="rId7"/>
  </sheets>
  <functionGroups builtInGroupCount="18"/>
  <definedNames>
    <definedName name="_xlnm._FilterDatabase" localSheetId="3" hidden="1">Masivo!$A$4:$M$4</definedName>
    <definedName name="_xlnm._FilterDatabase" localSheetId="1" hidden="1">'R. COMPRAS'!$A$1:$AE$158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6" i="3" l="1"/>
  <c r="C5" i="3"/>
  <c r="C4" i="3"/>
</calcChain>
</file>

<file path=xl/sharedStrings.xml><?xml version="1.0" encoding="utf-8"?>
<sst xmlns="http://schemas.openxmlformats.org/spreadsheetml/2006/main" count="3848" uniqueCount="904">
  <si>
    <t>RUC:</t>
  </si>
  <si>
    <t>Serie:</t>
  </si>
  <si>
    <t>N° Serie:</t>
  </si>
  <si>
    <t>Fecha emisión:</t>
  </si>
  <si>
    <t>Monto:</t>
  </si>
  <si>
    <r>
      <t>Tutoriales</t>
    </r>
    <r>
      <rPr>
        <sz val="11"/>
        <color theme="9" tint="-0.499984740745262"/>
        <rFont val="Calibri"/>
        <family val="2"/>
      </rPr>
      <t>Excel</t>
    </r>
    <r>
      <rPr>
        <sz val="11"/>
        <color theme="1"/>
        <rFont val="Calibri"/>
        <family val="2"/>
      </rPr>
      <t>.com</t>
    </r>
  </si>
  <si>
    <t>Success:</t>
  </si>
  <si>
    <t>EstadoCp</t>
  </si>
  <si>
    <t>EstadoRuc</t>
  </si>
  <si>
    <t>CondDomiRuc</t>
  </si>
  <si>
    <t>Observaciones</t>
  </si>
  <si>
    <t>EstadoCp:</t>
  </si>
  <si>
    <t>EstadoRuc:</t>
  </si>
  <si>
    <t>CondDomiRuc:</t>
  </si>
  <si>
    <t>Observaciones:</t>
  </si>
  <si>
    <t>Descripción</t>
  </si>
  <si>
    <t>Estado del comprobante</t>
  </si>
  <si>
    <t>Estado del RUC</t>
  </si>
  <si>
    <t>Condición de Domicilio del Contribuyente</t>
  </si>
  <si>
    <t>Descripción detalle</t>
  </si>
  <si>
    <t>CodComp:</t>
  </si>
  <si>
    <t>Tipo de comprobante</t>
  </si>
  <si>
    <t>CodComp</t>
  </si>
  <si>
    <t>Mensaje</t>
  </si>
  <si>
    <t>Client_id:</t>
  </si>
  <si>
    <t>Client_secret:</t>
  </si>
  <si>
    <t>RUC usuario:</t>
  </si>
  <si>
    <t>03</t>
  </si>
  <si>
    <t>01</t>
  </si>
  <si>
    <t>1</t>
  </si>
  <si>
    <t>00</t>
  </si>
  <si>
    <t>ID estadoCp</t>
  </si>
  <si>
    <t>Des estadoCp</t>
  </si>
  <si>
    <t>0</t>
  </si>
  <si>
    <t>2</t>
  </si>
  <si>
    <t>3</t>
  </si>
  <si>
    <t>4</t>
  </si>
  <si>
    <t>NO EXISTE</t>
  </si>
  <si>
    <t>ACEPTADO</t>
  </si>
  <si>
    <t>ANULADO</t>
  </si>
  <si>
    <t>AUTORIZADO</t>
  </si>
  <si>
    <t>NO AUTORIZADO</t>
  </si>
  <si>
    <t>ID estadoRuc</t>
  </si>
  <si>
    <t>Des estadoRuc</t>
  </si>
  <si>
    <t>02</t>
  </si>
  <si>
    <t>10</t>
  </si>
  <si>
    <t>11</t>
  </si>
  <si>
    <t>22</t>
  </si>
  <si>
    <t>ACTIVO</t>
  </si>
  <si>
    <t>BAJA PROVISIONAL</t>
  </si>
  <si>
    <t>BAJA PROV. POR OFICIO</t>
  </si>
  <si>
    <t>SUSPENSION TEMPORAL</t>
  </si>
  <si>
    <t>BAJA DEFINITIVA</t>
  </si>
  <si>
    <t>BAJA DE OFICIO</t>
  </si>
  <si>
    <t>INHABILITADO-VENT.UNICA</t>
  </si>
  <si>
    <t>ID condDomiRuc</t>
  </si>
  <si>
    <t>Des condDomiRuc</t>
  </si>
  <si>
    <t>HABIDO</t>
  </si>
  <si>
    <t>09</t>
  </si>
  <si>
    <t>PENDIENTE</t>
  </si>
  <si>
    <t>POR VERIFICAR</t>
  </si>
  <si>
    <t>NO HABIDO</t>
  </si>
  <si>
    <t>NO HALLADO</t>
  </si>
  <si>
    <t>12</t>
  </si>
  <si>
    <t>20</t>
  </si>
  <si>
    <t>Macro Consulta Comprobantes Electrónicos</t>
  </si>
  <si>
    <r>
      <t>Desarrollado por el Mg</t>
    </r>
    <r>
      <rPr>
        <b/>
        <sz val="12"/>
        <rFont val="Times New Roman"/>
        <family val="1"/>
      </rPr>
      <t>. Luis Rojas</t>
    </r>
  </si>
  <si>
    <t>Para más aplicativos visite los canales</t>
  </si>
  <si>
    <t>Tutorialesexcel.com</t>
  </si>
  <si>
    <t>Youtube.com/IngLuisRojas</t>
  </si>
  <si>
    <t>#6</t>
  </si>
  <si>
    <t>91e0c23b-7ed5-4934-85f1-6ef49504faae</t>
  </si>
  <si>
    <t>gEeNTKAn3tatLENpG882ow==</t>
  </si>
  <si>
    <t>01 FACTURA</t>
  </si>
  <si>
    <t>07/05/2025</t>
  </si>
  <si>
    <t>true</t>
  </si>
  <si>
    <t xml:space="preserve">Operation Success! </t>
  </si>
  <si>
    <t>E001</t>
  </si>
  <si>
    <t>R1</t>
  </si>
  <si>
    <t>FECHA_EMISION</t>
  </si>
  <si>
    <t>FECHA_VENCIMIENTO</t>
  </si>
  <si>
    <t>FECHA_PAGO</t>
  </si>
  <si>
    <t>ORIGEN_ASIENTO</t>
  </si>
  <si>
    <t>TD</t>
  </si>
  <si>
    <t>SERIE</t>
  </si>
  <si>
    <t>NRO_DOCUMENTO</t>
  </si>
  <si>
    <t>TIPO_DOC</t>
  </si>
  <si>
    <t>NRO_RUC</t>
  </si>
  <si>
    <t>CODIGO_AUXILIAR</t>
  </si>
  <si>
    <t>NOMBRE_O_RAZON_SOCIAL</t>
  </si>
  <si>
    <t>MONEDA</t>
  </si>
  <si>
    <t>IMPORTE_DOCUMENTO</t>
  </si>
  <si>
    <t>BASE_IMPONIBLE</t>
  </si>
  <si>
    <t>AD_VALOREM_DERECHO_AFECTO</t>
  </si>
  <si>
    <t>NOGRAV</t>
  </si>
  <si>
    <t>COMPRAS_INAFECTAS</t>
  </si>
  <si>
    <t>IGV_AFECTO</t>
  </si>
  <si>
    <t>IGV_INAFECTO</t>
  </si>
  <si>
    <t>IMPORTE_TOTAL</t>
  </si>
  <si>
    <t>DETRAC_DEPOSITO</t>
  </si>
  <si>
    <t>FECHA_DEPOSITO</t>
  </si>
  <si>
    <t>BASE_IMPONI_ND</t>
  </si>
  <si>
    <t>IMP_IGV_ND</t>
  </si>
  <si>
    <t>TIPO_DE_CAMBIO</t>
  </si>
  <si>
    <t>DOC_REFERENCIA</t>
  </si>
  <si>
    <t>NUMERO_DOCUMENTO_DE_REFERENCIA</t>
  </si>
  <si>
    <t>CÓDIGO_OFICIAL</t>
  </si>
  <si>
    <t>FECHA_DOCUMENTO_DE_REFERENCIA</t>
  </si>
  <si>
    <t>FECHA_DE_EMISION</t>
  </si>
  <si>
    <t>FECHA_REGISTRO</t>
  </si>
  <si>
    <t>030/00001</t>
  </si>
  <si>
    <t xml:space="preserve">01 </t>
  </si>
  <si>
    <t>F001</t>
  </si>
  <si>
    <t>6</t>
  </si>
  <si>
    <t>SO</t>
  </si>
  <si>
    <t xml:space="preserve">                    </t>
  </si>
  <si>
    <t xml:space="preserve">   </t>
  </si>
  <si>
    <t xml:space="preserve">              </t>
  </si>
  <si>
    <t xml:space="preserve">          </t>
  </si>
  <si>
    <t>030/00002</t>
  </si>
  <si>
    <t>030/00003</t>
  </si>
  <si>
    <t>030/00005</t>
  </si>
  <si>
    <t>030/00004</t>
  </si>
  <si>
    <t>030/00006</t>
  </si>
  <si>
    <t>F002</t>
  </si>
  <si>
    <t>DO</t>
  </si>
  <si>
    <t>030/00007</t>
  </si>
  <si>
    <t>030/00008</t>
  </si>
  <si>
    <t>031/00002</t>
  </si>
  <si>
    <t>F009</t>
  </si>
  <si>
    <t>20193681655</t>
  </si>
  <si>
    <t xml:space="preserve">20193681655 </t>
  </si>
  <si>
    <t xml:space="preserve">BONAVISTA S.A.C.                                                                </t>
  </si>
  <si>
    <t>031/00003</t>
  </si>
  <si>
    <t>FR01</t>
  </si>
  <si>
    <t>20100047218</t>
  </si>
  <si>
    <t xml:space="preserve">20100047218 </t>
  </si>
  <si>
    <t xml:space="preserve">BANCO DE CREDITO DEL PERU                                                       </t>
  </si>
  <si>
    <t>031/00004</t>
  </si>
  <si>
    <t>031/00006</t>
  </si>
  <si>
    <t>20100130204</t>
  </si>
  <si>
    <t xml:space="preserve">20100130204 </t>
  </si>
  <si>
    <t xml:space="preserve">BBVA BANCO CONTINENTAL                                                          </t>
  </si>
  <si>
    <t>031/00001</t>
  </si>
  <si>
    <t>031/00011</t>
  </si>
  <si>
    <t>031/00012</t>
  </si>
  <si>
    <t>031/00013</t>
  </si>
  <si>
    <t>031/00005</t>
  </si>
  <si>
    <t>031/00007</t>
  </si>
  <si>
    <t>FC03</t>
  </si>
  <si>
    <t>031/00008</t>
  </si>
  <si>
    <t>F005</t>
  </si>
  <si>
    <t>20516264943</t>
  </si>
  <si>
    <t xml:space="preserve">20516264943 </t>
  </si>
  <si>
    <t xml:space="preserve">GRABA CORPORACION Y SANEAMIENTO S.A.C.                                          </t>
  </si>
  <si>
    <t>031/00009</t>
  </si>
  <si>
    <t>031/00010</t>
  </si>
  <si>
    <t>031/00014</t>
  </si>
  <si>
    <t>031/00015</t>
  </si>
  <si>
    <t>031/00016</t>
  </si>
  <si>
    <t>031/00017</t>
  </si>
  <si>
    <t>031/00018</t>
  </si>
  <si>
    <t>031/00019</t>
  </si>
  <si>
    <t>031/00020</t>
  </si>
  <si>
    <t>031/00021</t>
  </si>
  <si>
    <t>031/00022</t>
  </si>
  <si>
    <t>031/00023</t>
  </si>
  <si>
    <t>FB03</t>
  </si>
  <si>
    <t>045/00001</t>
  </si>
  <si>
    <t xml:space="preserve">02 </t>
  </si>
  <si>
    <t>045/00002</t>
  </si>
  <si>
    <t>045/00003</t>
  </si>
  <si>
    <t>0000000020</t>
  </si>
  <si>
    <t>030/00009</t>
  </si>
  <si>
    <t>032/00001</t>
  </si>
  <si>
    <t xml:space="preserve">91 </t>
  </si>
  <si>
    <t xml:space="preserve">           </t>
  </si>
  <si>
    <t>118.89</t>
  </si>
  <si>
    <t>40.00</t>
  </si>
  <si>
    <t>72.00</t>
  </si>
  <si>
    <t>100.00</t>
  </si>
  <si>
    <t>67.00</t>
  </si>
  <si>
    <t>RUC</t>
  </si>
  <si>
    <t>RAZON SOCIAL</t>
  </si>
  <si>
    <t>COD</t>
  </si>
  <si>
    <t>IMPORT EXPORT SAFARI SAC</t>
  </si>
  <si>
    <t>TRANSPORTE KAROL SAC</t>
  </si>
  <si>
    <t>SAFARI IMPORT SAC</t>
  </si>
  <si>
    <t>INMOBILIARIA VALENTINO SAC</t>
  </si>
  <si>
    <t>INVERSIONES PANORAMICAS SAC</t>
  </si>
  <si>
    <t>IE</t>
  </si>
  <si>
    <t>TK</t>
  </si>
  <si>
    <t>IV</t>
  </si>
  <si>
    <t>IP</t>
  </si>
  <si>
    <t>SF</t>
  </si>
  <si>
    <t>45f31f8c-58ad-4e74-9b0e-2c9a7495f95b</t>
  </si>
  <si>
    <t>vWWbs/L1Gz6tUPmFUPLu+g==</t>
  </si>
  <si>
    <t>e346a3ea-791c-41d3-bd02-faf0aabeed31</t>
  </si>
  <si>
    <t>g4LEs/FdHTaPhA1BA1TNqQ==</t>
  </si>
  <si>
    <t>ca397438-1196-40f7-850a-a1e7290e691e</t>
  </si>
  <si>
    <t>4nU+4dvyc/4PF+MpNVExLA==</t>
  </si>
  <si>
    <t>16dbb950-d7a2-4696-8424-97c499ad920e</t>
  </si>
  <si>
    <t>XZM8tQcYAUG3h+RmD182rw==</t>
  </si>
  <si>
    <t>FT02</t>
  </si>
  <si>
    <t xml:space="preserve">20101520898 </t>
  </si>
  <si>
    <t>20101520898</t>
  </si>
  <si>
    <t xml:space="preserve">FARGOLINE SOCIEDAD ANONIMA - FARGOLINE S.A.                                     </t>
  </si>
  <si>
    <t xml:space="preserve">20250505                      </t>
  </si>
  <si>
    <t xml:space="preserve">20250506                      </t>
  </si>
  <si>
    <t xml:space="preserve">20250513                      </t>
  </si>
  <si>
    <t>F007</t>
  </si>
  <si>
    <t xml:space="preserve">20250514                      </t>
  </si>
  <si>
    <t xml:space="preserve">20250516                      </t>
  </si>
  <si>
    <t xml:space="preserve">20250519                      </t>
  </si>
  <si>
    <t>030/00010</t>
  </si>
  <si>
    <t xml:space="preserve">20250501                      </t>
  </si>
  <si>
    <t xml:space="preserve">20250502                      </t>
  </si>
  <si>
    <t xml:space="preserve">20250507                      </t>
  </si>
  <si>
    <t xml:space="preserve">20250508                      </t>
  </si>
  <si>
    <t xml:space="preserve">20250520                      </t>
  </si>
  <si>
    <t xml:space="preserve">20250515                      </t>
  </si>
  <si>
    <t>05/05/2025</t>
  </si>
  <si>
    <t>06/05/2025</t>
  </si>
  <si>
    <t>13/05/2025</t>
  </si>
  <si>
    <t>14/05/2025</t>
  </si>
  <si>
    <t>16/05/2025</t>
  </si>
  <si>
    <t>01/05/2025</t>
  </si>
  <si>
    <t>02/05/2025</t>
  </si>
  <si>
    <t>08/05/2025</t>
  </si>
  <si>
    <t>20/05/2025</t>
  </si>
  <si>
    <t/>
  </si>
  <si>
    <t xml:space="preserve">50 </t>
  </si>
  <si>
    <t>0118</t>
  </si>
  <si>
    <t>20131312955</t>
  </si>
  <si>
    <t xml:space="preserve">20131312955 </t>
  </si>
  <si>
    <t xml:space="preserve">SUPERINTENDENCIA NACIONAL DE ADUANAS Y DE ADMINISTRACION TRIBUTARIA - SUNAT     </t>
  </si>
  <si>
    <t>030/00016</t>
  </si>
  <si>
    <t>20600806786</t>
  </si>
  <si>
    <t xml:space="preserve">20600806786 </t>
  </si>
  <si>
    <t xml:space="preserve">LATINOCARGO S.A.C.                                                              </t>
  </si>
  <si>
    <t>030/00011</t>
  </si>
  <si>
    <t>030/00012</t>
  </si>
  <si>
    <t>20600843240</t>
  </si>
  <si>
    <t xml:space="preserve">20600843240 </t>
  </si>
  <si>
    <t xml:space="preserve">MSK LOGISTIC S.A.C.                                                             </t>
  </si>
  <si>
    <t>030/00013</t>
  </si>
  <si>
    <t>20556041424</t>
  </si>
  <si>
    <t xml:space="preserve">20556041424 </t>
  </si>
  <si>
    <t xml:space="preserve">ONUS TRANSPORT PERU S.A.C.                                                      </t>
  </si>
  <si>
    <t>030/00014</t>
  </si>
  <si>
    <t xml:space="preserve">20250521                      </t>
  </si>
  <si>
    <t>030/00015</t>
  </si>
  <si>
    <t xml:space="preserve">20250522                      </t>
  </si>
  <si>
    <t>20613814192</t>
  </si>
  <si>
    <t xml:space="preserve">20613814192 </t>
  </si>
  <si>
    <t xml:space="preserve">CIP SOLUTIONS S.A.C.                                                            </t>
  </si>
  <si>
    <t xml:space="preserve">20250429                      </t>
  </si>
  <si>
    <t>031/00024</t>
  </si>
  <si>
    <t>031/00025</t>
  </si>
  <si>
    <t>031/00026</t>
  </si>
  <si>
    <t>031/00027</t>
  </si>
  <si>
    <t>FE01</t>
  </si>
  <si>
    <t>031/00028</t>
  </si>
  <si>
    <t>F011</t>
  </si>
  <si>
    <t>032/00002</t>
  </si>
  <si>
    <t xml:space="preserve">20250527                      </t>
  </si>
  <si>
    <t>034/00001</t>
  </si>
  <si>
    <t>20516093367</t>
  </si>
  <si>
    <t xml:space="preserve">20516093367 </t>
  </si>
  <si>
    <t xml:space="preserve">TRANSPORTES KAROL S.A.C.                                                        </t>
  </si>
  <si>
    <t xml:space="preserve">20250512                      </t>
  </si>
  <si>
    <t>0000000005</t>
  </si>
  <si>
    <t>045/00004</t>
  </si>
  <si>
    <t>045/00005</t>
  </si>
  <si>
    <t>045/00006</t>
  </si>
  <si>
    <t>0000000001</t>
  </si>
  <si>
    <t>045/00007</t>
  </si>
  <si>
    <t>045/00008</t>
  </si>
  <si>
    <t>045/00009</t>
  </si>
  <si>
    <t>10104366223</t>
  </si>
  <si>
    <t xml:space="preserve">10104366223 </t>
  </si>
  <si>
    <t xml:space="preserve">RUIZ AYALA, NATIVIDAD FRANCISCO                                                 </t>
  </si>
  <si>
    <t>15/05/2025</t>
  </si>
  <si>
    <t>1970.60</t>
  </si>
  <si>
    <t>21/05/2025</t>
  </si>
  <si>
    <t>22/05/2025</t>
  </si>
  <si>
    <t>29/04/2025</t>
  </si>
  <si>
    <t>1327.50</t>
  </si>
  <si>
    <t>70.00</t>
  </si>
  <si>
    <t>500.00</t>
  </si>
  <si>
    <t>23/05/2025</t>
  </si>
  <si>
    <t>0000080667</t>
  </si>
  <si>
    <t>20505172419</t>
  </si>
  <si>
    <t xml:space="preserve">20505172419 </t>
  </si>
  <si>
    <t xml:space="preserve">SAFARI IMPORT S.A.C                                                             </t>
  </si>
  <si>
    <t xml:space="preserve">20250503                      </t>
  </si>
  <si>
    <t>0000452059</t>
  </si>
  <si>
    <t xml:space="preserve">269606575           </t>
  </si>
  <si>
    <t>0000452285</t>
  </si>
  <si>
    <t>0000080773</t>
  </si>
  <si>
    <t>030/00017</t>
  </si>
  <si>
    <t>0000195472</t>
  </si>
  <si>
    <t>0000009011</t>
  </si>
  <si>
    <t>0000009010</t>
  </si>
  <si>
    <t>0000081214</t>
  </si>
  <si>
    <t xml:space="preserve">07 </t>
  </si>
  <si>
    <t>0000005817</t>
  </si>
  <si>
    <t>20100080002</t>
  </si>
  <si>
    <t xml:space="preserve">20100080002 </t>
  </si>
  <si>
    <t xml:space="preserve">IMPORTACIONES CATUSITA S A                                                      </t>
  </si>
  <si>
    <t>FAC</t>
  </si>
  <si>
    <t>F0010000062314</t>
  </si>
  <si>
    <t>30/04/2025</t>
  </si>
  <si>
    <t>0000081307</t>
  </si>
  <si>
    <t>0000030959</t>
  </si>
  <si>
    <t>20508782013</t>
  </si>
  <si>
    <t xml:space="preserve">20508782013 </t>
  </si>
  <si>
    <t xml:space="preserve">VILLAS OQUENDO S.A.                                                             </t>
  </si>
  <si>
    <t>0000081461</t>
  </si>
  <si>
    <t>0000081596</t>
  </si>
  <si>
    <t>0000009151</t>
  </si>
  <si>
    <t>0000004106</t>
  </si>
  <si>
    <t xml:space="preserve">20250523                      </t>
  </si>
  <si>
    <t>0000002095</t>
  </si>
  <si>
    <t>0000081902</t>
  </si>
  <si>
    <t>0000000021</t>
  </si>
  <si>
    <t xml:space="preserve">270718341           </t>
  </si>
  <si>
    <t>0000059866</t>
  </si>
  <si>
    <t>0000058659</t>
  </si>
  <si>
    <t>0007962342</t>
  </si>
  <si>
    <t>0001664046</t>
  </si>
  <si>
    <t>0007977946</t>
  </si>
  <si>
    <t>0007974686</t>
  </si>
  <si>
    <t>FA10</t>
  </si>
  <si>
    <t>0000405107</t>
  </si>
  <si>
    <t>20382748566</t>
  </si>
  <si>
    <t xml:space="preserve">20382748566 </t>
  </si>
  <si>
    <t xml:space="preserve">INTERSEGURO COMPAÑIA DE SEGUROS S.A.                                            </t>
  </si>
  <si>
    <t>0003993915</t>
  </si>
  <si>
    <t>0000000058</t>
  </si>
  <si>
    <t>10101490136</t>
  </si>
  <si>
    <t xml:space="preserve">10101490136 </t>
  </si>
  <si>
    <t xml:space="preserve">GUZMAN ALANYA, EDWIN PAUL                                                       </t>
  </si>
  <si>
    <t xml:space="preserve">270718316           </t>
  </si>
  <si>
    <t>0007994487</t>
  </si>
  <si>
    <t>0007994530</t>
  </si>
  <si>
    <t>0000009609</t>
  </si>
  <si>
    <t>0000009618</t>
  </si>
  <si>
    <t>0000009619</t>
  </si>
  <si>
    <t>F521</t>
  </si>
  <si>
    <t>0000281915</t>
  </si>
  <si>
    <t>20100049181</t>
  </si>
  <si>
    <t xml:space="preserve">20100049181 </t>
  </si>
  <si>
    <t xml:space="preserve">TAI LOY S.A.                                                                    </t>
  </si>
  <si>
    <t>0000281916</t>
  </si>
  <si>
    <t>0000038910</t>
  </si>
  <si>
    <t>20330208300</t>
  </si>
  <si>
    <t xml:space="preserve">20330208300 </t>
  </si>
  <si>
    <t xml:space="preserve">PROTEMAX S.A.C.                                                                 </t>
  </si>
  <si>
    <t>0000281972</t>
  </si>
  <si>
    <t>0000009763</t>
  </si>
  <si>
    <t>F5210000281915</t>
  </si>
  <si>
    <t>0000009764</t>
  </si>
  <si>
    <t>F5210000281916</t>
  </si>
  <si>
    <t>0008000828</t>
  </si>
  <si>
    <t>0008002489</t>
  </si>
  <si>
    <t>0000001427</t>
  </si>
  <si>
    <t>10200485152</t>
  </si>
  <si>
    <t xml:space="preserve">10200485152 </t>
  </si>
  <si>
    <t xml:space="preserve">CHAVEZ SINCHE, TEODORO                                                          </t>
  </si>
  <si>
    <t>FL01</t>
  </si>
  <si>
    <t>0000001093</t>
  </si>
  <si>
    <t>20512950133</t>
  </si>
  <si>
    <t xml:space="preserve">20512950133 </t>
  </si>
  <si>
    <t>LORENZO,REPRESENTACIONES Y SERVICIOS SOCIEDAD ANONIMA CERRADA - LORENZO REPRESEN</t>
  </si>
  <si>
    <t>0000056105</t>
  </si>
  <si>
    <t>20379719440</t>
  </si>
  <si>
    <t xml:space="preserve">20379719440 </t>
  </si>
  <si>
    <t xml:space="preserve">100PRE FELIZ SOCIEDAD ANONIMA CERRADA                                           </t>
  </si>
  <si>
    <t>F010</t>
  </si>
  <si>
    <t>0000006848</t>
  </si>
  <si>
    <t>20509667129</t>
  </si>
  <si>
    <t xml:space="preserve">20509667129 </t>
  </si>
  <si>
    <t xml:space="preserve">PARRILLADAS PERUANAS SOCIEDAD ANONIMA                                           </t>
  </si>
  <si>
    <t>0000003080</t>
  </si>
  <si>
    <t>20513415037</t>
  </si>
  <si>
    <t xml:space="preserve">20513415037 </t>
  </si>
  <si>
    <t xml:space="preserve">DISTRIBUIDORA Y COMERCIALIZADORA EL ENSUEñO SOCIEDAD ANONIMA CERRADA            </t>
  </si>
  <si>
    <t>CSA2</t>
  </si>
  <si>
    <t xml:space="preserve">5108NB    </t>
  </si>
  <si>
    <t xml:space="preserve">EXT00000006 </t>
  </si>
  <si>
    <t xml:space="preserve">CONSON AUTO ELECTRONICS CO LTD                                                  </t>
  </si>
  <si>
    <t xml:space="preserve">5113GZ    </t>
  </si>
  <si>
    <t xml:space="preserve">20250528                      </t>
  </si>
  <si>
    <t>0000000519</t>
  </si>
  <si>
    <t>10483145841</t>
  </si>
  <si>
    <t xml:space="preserve">10483145841 </t>
  </si>
  <si>
    <t xml:space="preserve">SANTISTEBAN SANTAMARIA, JAIME BRIKTSON                                          </t>
  </si>
  <si>
    <t>15610216401</t>
  </si>
  <si>
    <t xml:space="preserve">15610216401 </t>
  </si>
  <si>
    <t xml:space="preserve">TORRES FERNANDEZ, CARLOS KEIDER                                                 </t>
  </si>
  <si>
    <t>0000000052</t>
  </si>
  <si>
    <t>10422778751</t>
  </si>
  <si>
    <t xml:space="preserve">10422778751 </t>
  </si>
  <si>
    <t xml:space="preserve">ORTIZ VICTORIO, CRISTIAN ANDY                                                   </t>
  </si>
  <si>
    <t>10721362570</t>
  </si>
  <si>
    <t xml:space="preserve">10721362570 </t>
  </si>
  <si>
    <t xml:space="preserve">ESPEINOZA SALDAÑA, KEILA MADELIN                                                </t>
  </si>
  <si>
    <t>10425031703</t>
  </si>
  <si>
    <t xml:space="preserve">10425031703 </t>
  </si>
  <si>
    <t xml:space="preserve">ESPINOSA GUTIERREZ, MIGUEL RAUL                                                 </t>
  </si>
  <si>
    <t>0000000006</t>
  </si>
  <si>
    <t>10715340068</t>
  </si>
  <si>
    <t xml:space="preserve">10715340068 </t>
  </si>
  <si>
    <t xml:space="preserve">VERA YACILA, LUIS ANTHONY                                                       </t>
  </si>
  <si>
    <t>0000000063</t>
  </si>
  <si>
    <t>10090991162</t>
  </si>
  <si>
    <t xml:space="preserve">10090991162 </t>
  </si>
  <si>
    <t xml:space="preserve">CANCHARI CABALLERO, JOSE MARIO                                                  </t>
  </si>
  <si>
    <t>0000000212</t>
  </si>
  <si>
    <t>03/05/2025</t>
  </si>
  <si>
    <t>246.67</t>
  </si>
  <si>
    <t>1261.68</t>
  </si>
  <si>
    <t>2065.00</t>
  </si>
  <si>
    <t>206.59</t>
  </si>
  <si>
    <t>1534.00</t>
  </si>
  <si>
    <t>4380.00</t>
  </si>
  <si>
    <t>86.52</t>
  </si>
  <si>
    <t>07</t>
  </si>
  <si>
    <t>5844.55</t>
  </si>
  <si>
    <t>2127.18</t>
  </si>
  <si>
    <t>1055.27</t>
  </si>
  <si>
    <t>1692.48</t>
  </si>
  <si>
    <t>19/05/2025</t>
  </si>
  <si>
    <t>152.86</t>
  </si>
  <si>
    <t>424.59</t>
  </si>
  <si>
    <t>1132.80</t>
  </si>
  <si>
    <t>1975.75</t>
  </si>
  <si>
    <t>117.50</t>
  </si>
  <si>
    <t>68.40</t>
  </si>
  <si>
    <t>134.60</t>
  </si>
  <si>
    <t>144.00</t>
  </si>
  <si>
    <t>3121.10</t>
  </si>
  <si>
    <t>83.80</t>
  </si>
  <si>
    <t>60.80</t>
  </si>
  <si>
    <t>36.00</t>
  </si>
  <si>
    <t>693.27</t>
  </si>
  <si>
    <t>99.30</t>
  </si>
  <si>
    <t>220.00</t>
  </si>
  <si>
    <t>33.74</t>
  </si>
  <si>
    <t>30.36</t>
  </si>
  <si>
    <t>5.55</t>
  </si>
  <si>
    <t>105.60</t>
  </si>
  <si>
    <t>106.90</t>
  </si>
  <si>
    <t>78.00</t>
  </si>
  <si>
    <t>42.00</t>
  </si>
  <si>
    <t>152.00</t>
  </si>
  <si>
    <t>115.40</t>
  </si>
  <si>
    <t>27/05/2025</t>
  </si>
  <si>
    <t>102.00</t>
  </si>
  <si>
    <t>26929.59</t>
  </si>
  <si>
    <t>600.00</t>
  </si>
  <si>
    <t>1693.00</t>
  </si>
  <si>
    <t>650.00</t>
  </si>
  <si>
    <t>813.00</t>
  </si>
  <si>
    <t>756.00</t>
  </si>
  <si>
    <t>Ruc Proveedor</t>
  </si>
  <si>
    <t>Nombre/Razón Social del Proveedor</t>
  </si>
  <si>
    <t>FECHA DE EMISION</t>
  </si>
  <si>
    <t>N. COMPROBANTE</t>
  </si>
  <si>
    <t>IMPORTE TOTAL EN DÓLAR</t>
  </si>
  <si>
    <t>05/06/2025</t>
  </si>
  <si>
    <t>04/06/2025</t>
  </si>
  <si>
    <t>02/06/2025</t>
  </si>
  <si>
    <t xml:space="preserve">269597310           </t>
  </si>
  <si>
    <t>030/00025</t>
  </si>
  <si>
    <t>0000199198</t>
  </si>
  <si>
    <t>030/00019</t>
  </si>
  <si>
    <t>0000009130</t>
  </si>
  <si>
    <t>030/00020</t>
  </si>
  <si>
    <t>0000009131</t>
  </si>
  <si>
    <t>030/00026</t>
  </si>
  <si>
    <t>0000009132</t>
  </si>
  <si>
    <t>030/00027</t>
  </si>
  <si>
    <t>0000009133</t>
  </si>
  <si>
    <t xml:space="preserve">272072001           </t>
  </si>
  <si>
    <t xml:space="preserve">272072002           </t>
  </si>
  <si>
    <t>030/00021</t>
  </si>
  <si>
    <t>0000454886</t>
  </si>
  <si>
    <t xml:space="preserve">20250529                      </t>
  </si>
  <si>
    <t>030/00022</t>
  </si>
  <si>
    <t>0000454887</t>
  </si>
  <si>
    <t xml:space="preserve">271833391           </t>
  </si>
  <si>
    <t>030/00023</t>
  </si>
  <si>
    <t>0000009204</t>
  </si>
  <si>
    <t xml:space="preserve">20250530                      </t>
  </si>
  <si>
    <t>030/00018</t>
  </si>
  <si>
    <t>FF01</t>
  </si>
  <si>
    <t>0000010709</t>
  </si>
  <si>
    <t>20552289901</t>
  </si>
  <si>
    <t xml:space="preserve">20552289901 </t>
  </si>
  <si>
    <t xml:space="preserve">BESTON PERU S.A.C.                                                              </t>
  </si>
  <si>
    <t>030/00024</t>
  </si>
  <si>
    <t>0000004184</t>
  </si>
  <si>
    <t>031/00058</t>
  </si>
  <si>
    <t xml:space="preserve">14 </t>
  </si>
  <si>
    <t>S001</t>
  </si>
  <si>
    <t>0000407125</t>
  </si>
  <si>
    <t>20552504641</t>
  </si>
  <si>
    <t xml:space="preserve">20552504641 </t>
  </si>
  <si>
    <t xml:space="preserve">WIN EMPRESAS S.A.C.                                                             </t>
  </si>
  <si>
    <t xml:space="preserve">20250412                      </t>
  </si>
  <si>
    <t>031/00059</t>
  </si>
  <si>
    <t>S106</t>
  </si>
  <si>
    <t>0006118133</t>
  </si>
  <si>
    <t>20100152356</t>
  </si>
  <si>
    <t xml:space="preserve">20100152356 </t>
  </si>
  <si>
    <t xml:space="preserve">SERV AGUA POTAB Y ALCANT DE LIMA SEDAPAL                                        </t>
  </si>
  <si>
    <t xml:space="preserve">20250415                      </t>
  </si>
  <si>
    <t>031/00060</t>
  </si>
  <si>
    <t>0006330862</t>
  </si>
  <si>
    <t xml:space="preserve">20250419                      </t>
  </si>
  <si>
    <t>031/00062</t>
  </si>
  <si>
    <t>S115</t>
  </si>
  <si>
    <t>0000020540</t>
  </si>
  <si>
    <t>20331898008</t>
  </si>
  <si>
    <t xml:space="preserve">20331898008 </t>
  </si>
  <si>
    <t xml:space="preserve">LUZ DEL SUR S.A.A.                                                              </t>
  </si>
  <si>
    <t xml:space="preserve">20250424                      </t>
  </si>
  <si>
    <t>031/00061</t>
  </si>
  <si>
    <t>0000020539</t>
  </si>
  <si>
    <t>031/00063</t>
  </si>
  <si>
    <t>0301958192</t>
  </si>
  <si>
    <t>20106897914</t>
  </si>
  <si>
    <t xml:space="preserve">20106897914 </t>
  </si>
  <si>
    <t xml:space="preserve">ENTEL PERU S.A.                                                                 </t>
  </si>
  <si>
    <t xml:space="preserve">20250430                      </t>
  </si>
  <si>
    <t>031/00065</t>
  </si>
  <si>
    <t>0000029664</t>
  </si>
  <si>
    <t>20607288292</t>
  </si>
  <si>
    <t xml:space="preserve">20607288292 </t>
  </si>
  <si>
    <t xml:space="preserve">MONITOREO DIGITAL SOCIEDAD ANONIMA CERRADA                                      </t>
  </si>
  <si>
    <t>031/00066</t>
  </si>
  <si>
    <t>0000029665</t>
  </si>
  <si>
    <t>031/00067</t>
  </si>
  <si>
    <t>0000029666</t>
  </si>
  <si>
    <t>031/00068</t>
  </si>
  <si>
    <t>F052</t>
  </si>
  <si>
    <t>0001720072</t>
  </si>
  <si>
    <t>20418896915</t>
  </si>
  <si>
    <t xml:space="preserve">20418896915 </t>
  </si>
  <si>
    <t xml:space="preserve">MAPFRE PERU VIDA COMPAÑIA DE SEGUROS Y REASEGUROS                               </t>
  </si>
  <si>
    <t>031/00029</t>
  </si>
  <si>
    <t>0000004245</t>
  </si>
  <si>
    <t>20517137023</t>
  </si>
  <si>
    <t xml:space="preserve">20517137023 </t>
  </si>
  <si>
    <t xml:space="preserve">CONSORCIO EMPRESARIAL RICEL'S S.A.C.                                            </t>
  </si>
  <si>
    <t>031/00095</t>
  </si>
  <si>
    <t>FR04</t>
  </si>
  <si>
    <t>0004386812</t>
  </si>
  <si>
    <t>031/00030</t>
  </si>
  <si>
    <t>0000000733</t>
  </si>
  <si>
    <t>10481376853</t>
  </si>
  <si>
    <t xml:space="preserve">10481376853 </t>
  </si>
  <si>
    <t xml:space="preserve">DAVILA DIAZ, MARIA JANET                                                        </t>
  </si>
  <si>
    <t xml:space="preserve">20250509                      </t>
  </si>
  <si>
    <t>031/00031</t>
  </si>
  <si>
    <t>0008012062</t>
  </si>
  <si>
    <t>031/00064</t>
  </si>
  <si>
    <t>S760</t>
  </si>
  <si>
    <t>0005095436</t>
  </si>
  <si>
    <t>20269985900</t>
  </si>
  <si>
    <t xml:space="preserve">20269985900 </t>
  </si>
  <si>
    <t xml:space="preserve">PLUZ ENERGÍA PERÚ S.A.A.                                                        </t>
  </si>
  <si>
    <t>031/00032</t>
  </si>
  <si>
    <t>FI01</t>
  </si>
  <si>
    <t xml:space="preserve">20250511                      </t>
  </si>
  <si>
    <t>031/00033</t>
  </si>
  <si>
    <t>FV14</t>
  </si>
  <si>
    <t>0001059522</t>
  </si>
  <si>
    <t>031/00034</t>
  </si>
  <si>
    <t>0014949519</t>
  </si>
  <si>
    <t>031/00035</t>
  </si>
  <si>
    <t>F216</t>
  </si>
  <si>
    <t>0000545212</t>
  </si>
  <si>
    <t>20101128777</t>
  </si>
  <si>
    <t xml:space="preserve">20101128777 </t>
  </si>
  <si>
    <t xml:space="preserve">DHL EXPRESS PERÚ S.A.C.                                                         </t>
  </si>
  <si>
    <t>031/00036</t>
  </si>
  <si>
    <t>0000012286</t>
  </si>
  <si>
    <t>10096376729</t>
  </si>
  <si>
    <t xml:space="preserve">10096376729 </t>
  </si>
  <si>
    <t xml:space="preserve">ROJAS PASTOR, MOISES FERNANDO                                                   </t>
  </si>
  <si>
    <t>031/00037</t>
  </si>
  <si>
    <t>0000545309</t>
  </si>
  <si>
    <t>031/00038</t>
  </si>
  <si>
    <t>0004400601</t>
  </si>
  <si>
    <t>031/00039</t>
  </si>
  <si>
    <t>0008020497</t>
  </si>
  <si>
    <t>031/00040</t>
  </si>
  <si>
    <t>0008028487</t>
  </si>
  <si>
    <t>031/00041</t>
  </si>
  <si>
    <t>0008028453</t>
  </si>
  <si>
    <t>031/00042</t>
  </si>
  <si>
    <t>0000012295</t>
  </si>
  <si>
    <t>031/00043</t>
  </si>
  <si>
    <t>0008035245</t>
  </si>
  <si>
    <t>031/00069</t>
  </si>
  <si>
    <t>0000000117</t>
  </si>
  <si>
    <t>20610625241</t>
  </si>
  <si>
    <t xml:space="preserve">20610625241 </t>
  </si>
  <si>
    <t xml:space="preserve">MABER ARQUITECTURA PUBLICITARIA S.A.C.                                          </t>
  </si>
  <si>
    <t xml:space="preserve">272072004           </t>
  </si>
  <si>
    <t>031/00044</t>
  </si>
  <si>
    <t>0000000343</t>
  </si>
  <si>
    <t>20601952549</t>
  </si>
  <si>
    <t xml:space="preserve">20601952549 </t>
  </si>
  <si>
    <t xml:space="preserve">INVERSIONES LUANIG E.I.R.L.                                                     </t>
  </si>
  <si>
    <t>031/00045</t>
  </si>
  <si>
    <t>0008043675</t>
  </si>
  <si>
    <t>031/00047</t>
  </si>
  <si>
    <t>031/00048</t>
  </si>
  <si>
    <t>0001683607</t>
  </si>
  <si>
    <t>031/00046</t>
  </si>
  <si>
    <t>0008051218</t>
  </si>
  <si>
    <t>031/00049</t>
  </si>
  <si>
    <t>FN01</t>
  </si>
  <si>
    <t>0032649109</t>
  </si>
  <si>
    <t xml:space="preserve">20250517                      </t>
  </si>
  <si>
    <t>031/00050</t>
  </si>
  <si>
    <t>0000044864</t>
  </si>
  <si>
    <t>20515461133</t>
  </si>
  <si>
    <t xml:space="preserve">20515461133 </t>
  </si>
  <si>
    <t xml:space="preserve">INVERSIONES RIWAY SOCIEDAD ANONIMA CERRADA                                      </t>
  </si>
  <si>
    <t>031/00051</t>
  </si>
  <si>
    <t>FB21</t>
  </si>
  <si>
    <t>0021853118</t>
  </si>
  <si>
    <t>031/00052</t>
  </si>
  <si>
    <t>0008056360</t>
  </si>
  <si>
    <t>031/00053</t>
  </si>
  <si>
    <t>0008060976</t>
  </si>
  <si>
    <t>031/00054</t>
  </si>
  <si>
    <t>0008061014</t>
  </si>
  <si>
    <t>031/00055</t>
  </si>
  <si>
    <t>0000004272</t>
  </si>
  <si>
    <t>031/00056</t>
  </si>
  <si>
    <t>F004</t>
  </si>
  <si>
    <t>0000000049</t>
  </si>
  <si>
    <t>20551825583</t>
  </si>
  <si>
    <t xml:space="preserve">20551825583 </t>
  </si>
  <si>
    <t xml:space="preserve">PUERTO NORTE PERU EMPRESA INDIVIDUAL DE RESPONSABILIDAD LIMITADA - PUERTO NORTE </t>
  </si>
  <si>
    <t>031/00070</t>
  </si>
  <si>
    <t>0008071884</t>
  </si>
  <si>
    <t>031/00072</t>
  </si>
  <si>
    <t>0001691551</t>
  </si>
  <si>
    <t>031/00057</t>
  </si>
  <si>
    <t>0000000009</t>
  </si>
  <si>
    <t>20600455347</t>
  </si>
  <si>
    <t xml:space="preserve">20600455347 </t>
  </si>
  <si>
    <t xml:space="preserve">CEBRUSA S.A.C.                                                                  </t>
  </si>
  <si>
    <t>031/00071</t>
  </si>
  <si>
    <t>0008084130</t>
  </si>
  <si>
    <t>031/00073</t>
  </si>
  <si>
    <t>0008087392</t>
  </si>
  <si>
    <t>031/00075</t>
  </si>
  <si>
    <t>0004431337</t>
  </si>
  <si>
    <t>031/00076</t>
  </si>
  <si>
    <t>0000000011</t>
  </si>
  <si>
    <t xml:space="preserve">272072005           </t>
  </si>
  <si>
    <t xml:space="preserve">20250524                      </t>
  </si>
  <si>
    <t>031/00074</t>
  </si>
  <si>
    <t>0008093793</t>
  </si>
  <si>
    <t xml:space="preserve">20250526                      </t>
  </si>
  <si>
    <t>031/00077</t>
  </si>
  <si>
    <t>0033028702</t>
  </si>
  <si>
    <t>031/00078</t>
  </si>
  <si>
    <t>0008105796</t>
  </si>
  <si>
    <t>031/00079</t>
  </si>
  <si>
    <t>0008105754</t>
  </si>
  <si>
    <t>031/00080</t>
  </si>
  <si>
    <t>0000000191</t>
  </si>
  <si>
    <t>20550629861</t>
  </si>
  <si>
    <t xml:space="preserve">20550629861 </t>
  </si>
  <si>
    <t xml:space="preserve">INVERSIONES GALPON PUNO S.A.C                                                   </t>
  </si>
  <si>
    <t>031/00081</t>
  </si>
  <si>
    <t>0000003287</t>
  </si>
  <si>
    <t>10403099169</t>
  </si>
  <si>
    <t xml:space="preserve">10403099169 </t>
  </si>
  <si>
    <t xml:space="preserve">GUILLEN BOLIVAR, SONIA ELENA                                                    </t>
  </si>
  <si>
    <t>031/00082</t>
  </si>
  <si>
    <t>0000000027</t>
  </si>
  <si>
    <t xml:space="preserve">272072003           </t>
  </si>
  <si>
    <t>031/00083</t>
  </si>
  <si>
    <t>0008108967</t>
  </si>
  <si>
    <t>031/00084</t>
  </si>
  <si>
    <t>0000004235</t>
  </si>
  <si>
    <t>20601164389</t>
  </si>
  <si>
    <t xml:space="preserve">20601164389 </t>
  </si>
  <si>
    <t xml:space="preserve">YALET COURIER S.A.C.- YALET S.A.C.                                              </t>
  </si>
  <si>
    <t>031/00085</t>
  </si>
  <si>
    <t>0008113826</t>
  </si>
  <si>
    <t>031/00086</t>
  </si>
  <si>
    <t>FO01</t>
  </si>
  <si>
    <t>0006492920</t>
  </si>
  <si>
    <t>031/00089</t>
  </si>
  <si>
    <t>0021937808</t>
  </si>
  <si>
    <t>031/00087</t>
  </si>
  <si>
    <t>0008118308</t>
  </si>
  <si>
    <t>031/00088</t>
  </si>
  <si>
    <t>FF15</t>
  </si>
  <si>
    <t>0015380435</t>
  </si>
  <si>
    <t>031/00090</t>
  </si>
  <si>
    <t>0021937807</t>
  </si>
  <si>
    <t>031/00094</t>
  </si>
  <si>
    <t>F213</t>
  </si>
  <si>
    <t>0000109405</t>
  </si>
  <si>
    <t>20109072177</t>
  </si>
  <si>
    <t xml:space="preserve">20109072177 </t>
  </si>
  <si>
    <t xml:space="preserve">CENCOSUD RETAIL PERU S.A.                                                       </t>
  </si>
  <si>
    <t>031/00091</t>
  </si>
  <si>
    <t>0015956864</t>
  </si>
  <si>
    <t>20603235780</t>
  </si>
  <si>
    <t xml:space="preserve">20603235780 </t>
  </si>
  <si>
    <t xml:space="preserve">IZIPAY S.A.C                                                                    </t>
  </si>
  <si>
    <t xml:space="preserve">20250531                      </t>
  </si>
  <si>
    <t>031/00093</t>
  </si>
  <si>
    <t>0015887264</t>
  </si>
  <si>
    <t>031/00092</t>
  </si>
  <si>
    <t>0016105356</t>
  </si>
  <si>
    <t>034/00005</t>
  </si>
  <si>
    <t>0000000521</t>
  </si>
  <si>
    <t xml:space="preserve">272072007           </t>
  </si>
  <si>
    <t>034/00006</t>
  </si>
  <si>
    <t>0000082446</t>
  </si>
  <si>
    <t xml:space="preserve">272072006           </t>
  </si>
  <si>
    <t>035/00001</t>
  </si>
  <si>
    <t>F020</t>
  </si>
  <si>
    <t>0000364975</t>
  </si>
  <si>
    <t>20377674686</t>
  </si>
  <si>
    <t xml:space="preserve">20377674686 </t>
  </si>
  <si>
    <t xml:space="preserve">SERVICENTRO SMILE S.A.                                                          </t>
  </si>
  <si>
    <t>035/00002</t>
  </si>
  <si>
    <t>0000002830</t>
  </si>
  <si>
    <t>10429348850</t>
  </si>
  <si>
    <t xml:space="preserve">10429348850 </t>
  </si>
  <si>
    <t xml:space="preserve">HUAMAN OROZCO, PABLO MISAEL                                                     </t>
  </si>
  <si>
    <t>035/00003</t>
  </si>
  <si>
    <t>0000002230</t>
  </si>
  <si>
    <t>10432731451</t>
  </si>
  <si>
    <t xml:space="preserve">10432731451 </t>
  </si>
  <si>
    <t xml:space="preserve">OLARTE LOPEZ, JESUS                                                             </t>
  </si>
  <si>
    <t>035/00004</t>
  </si>
  <si>
    <t>0000281973</t>
  </si>
  <si>
    <t>035/00005</t>
  </si>
  <si>
    <t>F348</t>
  </si>
  <si>
    <t>0000028590</t>
  </si>
  <si>
    <t>035/00006</t>
  </si>
  <si>
    <t>0000000187</t>
  </si>
  <si>
    <t>20612141640</t>
  </si>
  <si>
    <t xml:space="preserve">20612141640 </t>
  </si>
  <si>
    <t xml:space="preserve">JEBES Y PARABRISAS PLUMITA S.A.C.                                               </t>
  </si>
  <si>
    <t>035/00007</t>
  </si>
  <si>
    <t>0000080079</t>
  </si>
  <si>
    <t>20530682197</t>
  </si>
  <si>
    <t xml:space="preserve">20530682197 </t>
  </si>
  <si>
    <t xml:space="preserve">ESTACION DE SERVICIOS GRIFO SANTA EULALIA S.R.L.                                </t>
  </si>
  <si>
    <t>035/00008</t>
  </si>
  <si>
    <t>FB01</t>
  </si>
  <si>
    <t>0000002373</t>
  </si>
  <si>
    <t>20608541111</t>
  </si>
  <si>
    <t xml:space="preserve">20608541111 </t>
  </si>
  <si>
    <t xml:space="preserve">BACKUS YA S.A.C.                                                                </t>
  </si>
  <si>
    <t>035/00009</t>
  </si>
  <si>
    <t>FA08</t>
  </si>
  <si>
    <t>0002383633</t>
  </si>
  <si>
    <t>20608300393</t>
  </si>
  <si>
    <t xml:space="preserve">20608300393 </t>
  </si>
  <si>
    <t xml:space="preserve">COMPAÑIA FOOD RETAIL S.A.C.                                                     </t>
  </si>
  <si>
    <t xml:space="preserve">20250518                      </t>
  </si>
  <si>
    <t>035/00010</t>
  </si>
  <si>
    <t>0000042386</t>
  </si>
  <si>
    <t>035/00013</t>
  </si>
  <si>
    <t>F501</t>
  </si>
  <si>
    <t>0000286732</t>
  </si>
  <si>
    <t>035/00011</t>
  </si>
  <si>
    <t>0002320569</t>
  </si>
  <si>
    <t>035/00012</t>
  </si>
  <si>
    <t>F013</t>
  </si>
  <si>
    <t>0000133005</t>
  </si>
  <si>
    <t>20100047137</t>
  </si>
  <si>
    <t xml:space="preserve">20100047137 </t>
  </si>
  <si>
    <t xml:space="preserve">UNION YCHICAWA S A                                                              </t>
  </si>
  <si>
    <t>045/00010</t>
  </si>
  <si>
    <t>0000000364</t>
  </si>
  <si>
    <t>10762170049</t>
  </si>
  <si>
    <t xml:space="preserve">10762170049 </t>
  </si>
  <si>
    <t xml:space="preserve">RODRIGUEZ HERRERA, WENDY CAITLYN                                                </t>
  </si>
  <si>
    <t>045/00011</t>
  </si>
  <si>
    <t>0000000366</t>
  </si>
  <si>
    <t>045/00012</t>
  </si>
  <si>
    <t>0000000002</t>
  </si>
  <si>
    <t>10755749759</t>
  </si>
  <si>
    <t xml:space="preserve">10755749759 </t>
  </si>
  <si>
    <t xml:space="preserve">RENGIFO ROITER, JHAMIL SAUL                                                     </t>
  </si>
  <si>
    <t>045/00013</t>
  </si>
  <si>
    <t>0000000007</t>
  </si>
  <si>
    <t>045/00014</t>
  </si>
  <si>
    <t>0000000094</t>
  </si>
  <si>
    <t>10065528725</t>
  </si>
  <si>
    <t xml:space="preserve">10065528725 </t>
  </si>
  <si>
    <t xml:space="preserve">OLARTE TELLO, PEDRO                                                             </t>
  </si>
  <si>
    <t>045/00015</t>
  </si>
  <si>
    <t>1900.00</t>
  </si>
  <si>
    <t>519.20</t>
  </si>
  <si>
    <t>3980.00</t>
  </si>
  <si>
    <t>1038.40</t>
  </si>
  <si>
    <t>29/05/2025</t>
  </si>
  <si>
    <t>185.15</t>
  </si>
  <si>
    <t>450.17</t>
  </si>
  <si>
    <t>30/05/2025</t>
  </si>
  <si>
    <t>277.58</t>
  </si>
  <si>
    <t>1500.00</t>
  </si>
  <si>
    <t>566.40</t>
  </si>
  <si>
    <t>30.00</t>
  </si>
  <si>
    <t>154.11</t>
  </si>
  <si>
    <t>315.00</t>
  </si>
  <si>
    <t>3.50</t>
  </si>
  <si>
    <t>09/05/2025</t>
  </si>
  <si>
    <t>50.95</t>
  </si>
  <si>
    <t>99.70</t>
  </si>
  <si>
    <t>11/05/2025</t>
  </si>
  <si>
    <t>22.50</t>
  </si>
  <si>
    <t>18.50</t>
  </si>
  <si>
    <t>67.50</t>
  </si>
  <si>
    <t>12/05/2025</t>
  </si>
  <si>
    <t>45.16</t>
  </si>
  <si>
    <t>465.00</t>
  </si>
  <si>
    <t>72.90</t>
  </si>
  <si>
    <t>49.40</t>
  </si>
  <si>
    <t>82.70</t>
  </si>
  <si>
    <t>515.00</t>
  </si>
  <si>
    <t>112.20</t>
  </si>
  <si>
    <t>4200.00</t>
  </si>
  <si>
    <t>180.00</t>
  </si>
  <si>
    <t>61.10</t>
  </si>
  <si>
    <t>80.00</t>
  </si>
  <si>
    <t>17/05/2025</t>
  </si>
  <si>
    <t>10.00</t>
  </si>
  <si>
    <t>543.00</t>
  </si>
  <si>
    <t>26.00</t>
  </si>
  <si>
    <t>78.70</t>
  </si>
  <si>
    <t>139.50</t>
  </si>
  <si>
    <t>90.60</t>
  </si>
  <si>
    <t>65.00</t>
  </si>
  <si>
    <t>479.00</t>
  </si>
  <si>
    <t>100.10</t>
  </si>
  <si>
    <t>236.00</t>
  </si>
  <si>
    <t>100.40</t>
  </si>
  <si>
    <t>107.30</t>
  </si>
  <si>
    <t>14.00</t>
  </si>
  <si>
    <t>24/05/2025</t>
  </si>
  <si>
    <t>1080.00</t>
  </si>
  <si>
    <t>26/05/2025</t>
  </si>
  <si>
    <t>130.60</t>
  </si>
  <si>
    <t>6.80</t>
  </si>
  <si>
    <t>72.20</t>
  </si>
  <si>
    <t>119.60</t>
  </si>
  <si>
    <t>350.00</t>
  </si>
  <si>
    <t>300.00</t>
  </si>
  <si>
    <t>28/05/2025</t>
  </si>
  <si>
    <t>133.60</t>
  </si>
  <si>
    <t>35.00</t>
  </si>
  <si>
    <t>137.30</t>
  </si>
  <si>
    <t>50.50</t>
  </si>
  <si>
    <t>16.80</t>
  </si>
  <si>
    <t>154.70</t>
  </si>
  <si>
    <t>1.00</t>
  </si>
  <si>
    <t>48.50</t>
  </si>
  <si>
    <t>454.80</t>
  </si>
  <si>
    <t>31/05/2025</t>
  </si>
  <si>
    <t>227.30</t>
  </si>
  <si>
    <t>53.22</t>
  </si>
  <si>
    <t>136609.21</t>
  </si>
  <si>
    <t>8666.04</t>
  </si>
  <si>
    <t>180.82</t>
  </si>
  <si>
    <t>49.50</t>
  </si>
  <si>
    <t>16.00</t>
  </si>
  <si>
    <t>54.16</t>
  </si>
  <si>
    <t>35.20</t>
  </si>
  <si>
    <t>24.00</t>
  </si>
  <si>
    <t>52.00</t>
  </si>
  <si>
    <t>18/05/2025</t>
  </si>
  <si>
    <t>53.86</t>
  </si>
  <si>
    <t>62.70</t>
  </si>
  <si>
    <t>33.06</t>
  </si>
  <si>
    <t>800.00</t>
  </si>
  <si>
    <t>720.00</t>
  </si>
  <si>
    <t>83.00</t>
  </si>
  <si>
    <t>47.65</t>
  </si>
  <si>
    <t>0014949167</t>
  </si>
  <si>
    <t>0001683629</t>
  </si>
  <si>
    <t>151.80</t>
  </si>
  <si>
    <t>526</t>
  </si>
  <si>
    <t>6487.93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</si>
</sst>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6">
    <font>
      <sz val="11"/>
      <color theme="1"/>
      <name val="Yu Gothic UI Light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20"/>
      <color theme="1"/>
      <name val="Calibri"/>
      <family val="2"/>
    </font>
    <font>
      <b/>
      <sz val="14"/>
      <color theme="1"/>
      <name val="Calibri"/>
      <family val="2"/>
    </font>
    <font>
      <sz val="11"/>
      <color theme="1"/>
      <name val="Calibri"/>
      <family val="2"/>
    </font>
    <font>
      <sz val="11"/>
      <name val="Calibri"/>
      <family val="2"/>
    </font>
    <font>
      <b/>
      <sz val="10"/>
      <color theme="1"/>
      <name val="Calibri"/>
      <family val="2"/>
    </font>
    <font>
      <sz val="11"/>
      <color theme="9" tint="-0.499984740745262"/>
      <name val="Calibri"/>
      <family val="2"/>
    </font>
    <font>
      <b/>
      <sz val="11"/>
      <color theme="1"/>
      <name val="Calibri"/>
      <family val="2"/>
    </font>
    <font>
      <sz val="11"/>
      <color theme="1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u/>
      <sz val="11"/>
      <color theme="10"/>
      <name val="Aptos Narrow"/>
      <family val="2"/>
      <scheme val="minor"/>
    </font>
    <font>
      <u/>
      <sz val="11"/>
      <color theme="10"/>
      <name val="Times New Roman"/>
      <family val="1"/>
    </font>
    <font>
      <b/>
      <sz val="10"/>
      <color theme="0"/>
      <name val="Aptos Narrow"/>
      <family val="2"/>
      <scheme val="minor"/>
    </font>
    <font>
      <sz val="9"/>
      <color theme="1"/>
      <name val="Yu Gothic UI Light"/>
      <family val="2"/>
    </font>
    <font>
      <sz val="11"/>
      <color theme="0"/>
      <name val="Calibri"/>
      <family val="2"/>
    </font>
    <font>
      <b/>
      <sz val="8"/>
      <color theme="0"/>
      <name val="Verdana"/>
      <family val="2"/>
    </font>
    <font>
      <b/>
      <sz val="7.5"/>
      <color theme="0"/>
      <name val="Verdana"/>
      <family val="2"/>
    </font>
    <font>
      <sz val="8"/>
      <color theme="1"/>
      <name val="Aptos Narrow"/>
      <family val="2"/>
      <scheme val="minor"/>
    </font>
  </fonts>
  <fills count="10">
    <fill>
      <patternFill patternType="none"/>
    </fill>
    <fill>
      <patternFill patternType="gray125"/>
    </fill>
    <fill>
      <patternFill patternType="gray0625">
        <fgColor theme="8" tint="0.79998168889431442"/>
        <bgColor theme="0"/>
      </patternFill>
    </fill>
    <fill>
      <patternFill patternType="lightGray">
        <fgColor theme="9" tint="0.79998168889431442"/>
        <bgColor theme="0"/>
      </patternFill>
    </fill>
    <fill>
      <patternFill patternType="gray0625">
        <fgColor theme="9"/>
      </patternFill>
    </fill>
    <fill>
      <patternFill patternType="lightGray">
        <fgColor theme="9" tint="0.79995117038483843"/>
        <bgColor theme="3" tint="0.89996032593768116"/>
      </patternFill>
    </fill>
    <fill>
      <patternFill patternType="gray0625">
        <fgColor theme="4"/>
      </patternFill>
    </fill>
    <fill>
      <patternFill patternType="gray0625">
        <fgColor theme="9" tint="0.79998168889431442"/>
        <bgColor theme="0"/>
      </patternFill>
    </fill>
    <fill>
      <patternFill patternType="solid">
        <fgColor theme="4"/>
        <bgColor theme="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medium">
        <color theme="4" tint="0.3999450666829432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0">
    <xf numFmtId="0" fontId="0" fillId="0" borderId="0"/>
    <xf numFmtId="0" fontId="7" fillId="0" borderId="0"/>
    <xf numFmtId="0" fontId="18" fillId="0" borderId="0" applyNumberFormat="0" applyFill="0" applyBorder="0" applyAlignment="0" applyProtection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25" fillId="0" borderId="0"/>
    <xf numFmtId="0" fontId="1" fillId="0" borderId="0"/>
  </cellStyleXfs>
  <cellXfs count="40">
    <xf numFmtId="0" fontId="0" fillId="0" borderId="0" xfId="0"/>
    <xf numFmtId="0" fontId="10" fillId="0" borderId="0" xfId="0" applyFont="1"/>
    <xf numFmtId="49" fontId="11" fillId="4" borderId="2" xfId="0" applyNumberFormat="1" applyFont="1" applyFill="1" applyBorder="1" applyAlignment="1">
      <alignment horizontal="left" vertical="center" indent="1"/>
    </xf>
    <xf numFmtId="0" fontId="12" fillId="3" borderId="1" xfId="0" applyFont="1" applyFill="1" applyBorder="1" applyAlignment="1">
      <alignment horizontal="left" vertical="center" wrapText="1" indent="1"/>
    </xf>
    <xf numFmtId="49" fontId="10" fillId="0" borderId="0" xfId="0" applyNumberFormat="1" applyFont="1"/>
    <xf numFmtId="0" fontId="14" fillId="0" borderId="0" xfId="0" applyFont="1"/>
    <xf numFmtId="0" fontId="12" fillId="5" borderId="1" xfId="0" applyFont="1" applyFill="1" applyBorder="1" applyAlignment="1">
      <alignment horizontal="left" vertical="center" wrapText="1" indent="1"/>
    </xf>
    <xf numFmtId="49" fontId="11" fillId="6" borderId="2" xfId="0" applyNumberFormat="1" applyFont="1" applyFill="1" applyBorder="1" applyAlignment="1">
      <alignment horizontal="left" vertical="center" indent="1"/>
    </xf>
    <xf numFmtId="49" fontId="12" fillId="3" borderId="1" xfId="0" applyNumberFormat="1" applyFont="1" applyFill="1" applyBorder="1" applyAlignment="1">
      <alignment horizontal="left" vertical="center" wrapText="1" indent="1"/>
    </xf>
    <xf numFmtId="0" fontId="15" fillId="0" borderId="0" xfId="1" applyFont="1"/>
    <xf numFmtId="0" fontId="19" fillId="0" borderId="0" xfId="2" applyFont="1" applyAlignment="1">
      <alignment horizontal="center" vertical="center"/>
    </xf>
    <xf numFmtId="0" fontId="18" fillId="0" borderId="0" xfId="2" applyAlignment="1">
      <alignment horizontal="center" vertical="center"/>
    </xf>
    <xf numFmtId="0" fontId="20" fillId="8" borderId="5" xfId="0" applyFont="1" applyFill="1" applyBorder="1"/>
    <xf numFmtId="0" fontId="20" fillId="8" borderId="6" xfId="0" applyFont="1" applyFill="1" applyBorder="1"/>
    <xf numFmtId="0" fontId="11" fillId="7" borderId="2" xfId="0" applyNumberFormat="1" applyFont="1" applyFill="1" applyBorder="1" applyAlignment="1">
      <alignment horizontal="left" vertical="center" indent="1"/>
    </xf>
    <xf numFmtId="0" fontId="21" fillId="0" borderId="0" xfId="0" applyFont="1"/>
    <xf numFmtId="0" fontId="23" fillId="9" borderId="7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4" fillId="9" borderId="8" xfId="0" applyFont="1" applyFill="1" applyBorder="1" applyAlignment="1">
      <alignment horizontal="center" vertical="center" wrapText="1"/>
    </xf>
    <xf numFmtId="14" fontId="0" fillId="0" borderId="0" xfId="0" applyNumberFormat="1"/>
    <xf numFmtId="49" fontId="0" fillId="0" borderId="0" xfId="0" applyNumberFormat="1"/>
    <xf numFmtId="49" fontId="0" fillId="0" borderId="0" xfId="0" quotePrefix="1" applyNumberFormat="1"/>
    <xf numFmtId="0" fontId="25" fillId="0" borderId="0" xfId="8"/>
    <xf numFmtId="0" fontId="5" fillId="0" borderId="0" xfId="4" applyFill="1"/>
    <xf numFmtId="14" fontId="5" fillId="0" borderId="0" xfId="4" applyNumberFormat="1" applyFill="1"/>
    <xf numFmtId="0" fontId="5" fillId="0" borderId="0" xfId="4" quotePrefix="1" applyFill="1"/>
    <xf numFmtId="0" fontId="1" fillId="0" borderId="0" xfId="9"/>
    <xf numFmtId="14" fontId="1" fillId="0" borderId="0" xfId="9" applyNumberFormat="1"/>
    <xf numFmtId="0" fontId="1" fillId="0" borderId="0" xfId="9" quotePrefix="1"/>
    <xf numFmtId="0" fontId="8" fillId="2" borderId="3" xfId="0" applyFont="1" applyFill="1" applyBorder="1" applyAlignment="1">
      <alignment horizontal="center" vertical="center" wrapText="1"/>
    </xf>
    <xf numFmtId="0" fontId="8" fillId="2" borderId="4" xfId="0" applyFont="1" applyFill="1" applyBorder="1" applyAlignment="1">
      <alignment horizontal="center" vertical="center" wrapText="1"/>
    </xf>
    <xf numFmtId="0" fontId="9" fillId="2" borderId="1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 vertical="center" wrapText="1"/>
    </xf>
    <xf numFmtId="0" fontId="10" fillId="3" borderId="4" xfId="0" applyFont="1" applyFill="1" applyBorder="1" applyAlignment="1">
      <alignment horizontal="center" vertical="center" wrapText="1"/>
    </xf>
    <xf numFmtId="0" fontId="22" fillId="3" borderId="3" xfId="0" applyFont="1" applyFill="1" applyBorder="1" applyAlignment="1">
      <alignment horizontal="center" vertical="center" wrapText="1"/>
    </xf>
    <xf numFmtId="0" fontId="22" fillId="3" borderId="4" xfId="0" applyFont="1" applyFill="1" applyBorder="1" applyAlignment="1">
      <alignment horizontal="center" vertical="center" wrapText="1"/>
    </xf>
    <xf numFmtId="0" fontId="22" fillId="3" borderId="2" xfId="0" applyFont="1" applyFill="1" applyBorder="1" applyAlignment="1">
      <alignment horizontal="center" vertical="center" wrapText="1"/>
    </xf>
    <xf numFmtId="0" fontId="8" fillId="2" borderId="2" xfId="0" applyFont="1" applyFill="1" applyBorder="1" applyAlignment="1">
      <alignment horizontal="center" vertical="center" wrapText="1"/>
    </xf>
    <xf numFmtId="0" fontId="10" fillId="3" borderId="2" xfId="0" applyFont="1" applyFill="1" applyBorder="1" applyAlignment="1">
      <alignment horizontal="center" vertical="center" wrapText="1"/>
    </xf>
    <xf numFmtId="0" fontId="16" fillId="0" borderId="0" xfId="1" applyFont="1" applyAlignment="1">
      <alignment horizontal="center"/>
    </xf>
  </cellXfs>
  <cellStyles count="10">
    <cellStyle name="Hipervínculo 2" xfId="2"/>
    <cellStyle name="Normal" xfId="0" builtinId="0"/>
    <cellStyle name="Normal 2" xfId="1"/>
    <cellStyle name="Normal 3" xfId="3"/>
    <cellStyle name="Normal 4" xfId="4"/>
    <cellStyle name="Normal 5" xfId="5"/>
    <cellStyle name="Normal 6" xfId="6"/>
    <cellStyle name="Normal 7" xfId="7"/>
    <cellStyle name="Normal 8" xfId="8"/>
    <cellStyle name="Normal 9" xfId="9"/>
  </cellStyles>
  <dxfs count="6">
    <dxf>
      <numFmt numFmtId="19" formatCode="dd/mm/yyyy"/>
    </dxf>
    <dxf>
      <numFmt numFmtId="19" formatCode="dd/mm/yyyy"/>
    </dxf>
    <dxf>
      <numFmt numFmtId="19" formatCode="dd/mm/yyyy"/>
    </dxf>
    <dxf>
      <border outline="0">
        <bottom style="thick">
          <color theme="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0"/>
        </left>
        <right style="thin">
          <color theme="0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52552</xdr:colOff>
      <xdr:row>4</xdr:row>
      <xdr:rowOff>20372</xdr:rowOff>
    </xdr:from>
    <xdr:to>
      <xdr:col>4</xdr:col>
      <xdr:colOff>776651</xdr:colOff>
      <xdr:row>5</xdr:row>
      <xdr:rowOff>54955</xdr:rowOff>
    </xdr:to>
    <xdr:sp macro="[0]!consultaIndividual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48495D5B-6879-4DDF-B48B-7692835C52AB}"/>
            </a:ext>
          </a:extLst>
        </xdr:cNvPr>
        <xdr:cNvSpPr/>
      </xdr:nvSpPr>
      <xdr:spPr>
        <a:xfrm>
          <a:off x="3803431" y="1137096"/>
          <a:ext cx="724099" cy="22508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BUSCAR</a:t>
          </a:r>
          <a:endParaRPr lang="es-PE" sz="1100" b="1"/>
        </a:p>
      </xdr:txBody>
    </xdr:sp>
    <xdr:clientData/>
  </xdr:twoCellAnchor>
  <xdr:twoCellAnchor>
    <xdr:from>
      <xdr:col>4</xdr:col>
      <xdr:colOff>52660</xdr:colOff>
      <xdr:row>5</xdr:row>
      <xdr:rowOff>131379</xdr:rowOff>
    </xdr:from>
    <xdr:to>
      <xdr:col>4</xdr:col>
      <xdr:colOff>776260</xdr:colOff>
      <xdr:row>6</xdr:row>
      <xdr:rowOff>166627</xdr:rowOff>
    </xdr:to>
    <xdr:sp macro="[0]!limpiarIndividual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3A20F310-AA98-478A-84FF-64D2E72ABFDA}"/>
            </a:ext>
          </a:extLst>
        </xdr:cNvPr>
        <xdr:cNvSpPr/>
      </xdr:nvSpPr>
      <xdr:spPr>
        <a:xfrm>
          <a:off x="4099143" y="1438603"/>
          <a:ext cx="723600" cy="225748"/>
        </a:xfrm>
        <a:prstGeom prst="roundRect">
          <a:avLst/>
        </a:prstGeom>
        <a:solidFill>
          <a:srgbClr val="D8201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LIMPIAR</a:t>
          </a:r>
          <a:endParaRPr lang="es-PE" sz="1100" b="1"/>
        </a:p>
      </xdr:txBody>
    </xdr:sp>
    <xdr:clientData/>
  </xdr:twoCellAnchor>
  <xdr:twoCellAnchor>
    <xdr:from>
      <xdr:col>4</xdr:col>
      <xdr:colOff>111674</xdr:colOff>
      <xdr:row>7</xdr:row>
      <xdr:rowOff>91964</xdr:rowOff>
    </xdr:from>
    <xdr:to>
      <xdr:col>4</xdr:col>
      <xdr:colOff>762000</xdr:colOff>
      <xdr:row>9</xdr:row>
      <xdr:rowOff>65689</xdr:rowOff>
    </xdr:to>
    <xdr:sp macro="[0]!CopiarDatosUnicosEnDetraccion" textlink="">
      <xdr:nvSpPr>
        <xdr:cNvPr id="4" name="Rectángulo redondeado 3"/>
        <xdr:cNvSpPr/>
      </xdr:nvSpPr>
      <xdr:spPr>
        <a:xfrm>
          <a:off x="4125312" y="1780188"/>
          <a:ext cx="650326" cy="354725"/>
        </a:xfrm>
        <a:prstGeom prst="round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700"/>
            <a:t>GUARDAR PARA DRT</a:t>
          </a:r>
        </a:p>
      </xdr:txBody>
    </xdr:sp>
    <xdr:clientData/>
  </xdr:twoCellAnchor>
  <xdr:twoCellAnchor>
    <xdr:from>
      <xdr:col>4</xdr:col>
      <xdr:colOff>52552</xdr:colOff>
      <xdr:row>10</xdr:row>
      <xdr:rowOff>6569</xdr:rowOff>
    </xdr:from>
    <xdr:to>
      <xdr:col>4</xdr:col>
      <xdr:colOff>776152</xdr:colOff>
      <xdr:row>11</xdr:row>
      <xdr:rowOff>41817</xdr:rowOff>
    </xdr:to>
    <xdr:sp macro="[0]!ImprimirHojaIndividual" textlink="">
      <xdr:nvSpPr>
        <xdr:cNvPr id="6" name="Rectángulo: esquinas redondeadas 2">
          <a:extLst>
            <a:ext uri="{FF2B5EF4-FFF2-40B4-BE49-F238E27FC236}">
              <a16:creationId xmlns:a16="http://schemas.microsoft.com/office/drawing/2014/main" id="{3A20F310-AA98-478A-84FF-64D2E72ABFDA}"/>
            </a:ext>
          </a:extLst>
        </xdr:cNvPr>
        <xdr:cNvSpPr/>
      </xdr:nvSpPr>
      <xdr:spPr>
        <a:xfrm>
          <a:off x="4099035" y="2266293"/>
          <a:ext cx="723600" cy="225748"/>
        </a:xfrm>
        <a:prstGeom prst="roundRect">
          <a:avLst/>
        </a:prstGeom>
        <a:solidFill>
          <a:schemeClr val="tx2">
            <a:lumMod val="50000"/>
            <a:lumOff val="50000"/>
          </a:schemeClr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IMPRIMIR</a:t>
          </a:r>
          <a:endParaRPr lang="es-PE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1040424</xdr:colOff>
      <xdr:row>0</xdr:row>
      <xdr:rowOff>139212</xdr:rowOff>
    </xdr:from>
    <xdr:to>
      <xdr:col>9</xdr:col>
      <xdr:colOff>709446</xdr:colOff>
      <xdr:row>0</xdr:row>
      <xdr:rowOff>364295</xdr:rowOff>
    </xdr:to>
    <xdr:sp macro="[0]!consultamasiva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CBABD653-A4EF-4CCD-838E-5A8AC4FC4B7E}"/>
            </a:ext>
          </a:extLst>
        </xdr:cNvPr>
        <xdr:cNvSpPr/>
      </xdr:nvSpPr>
      <xdr:spPr>
        <a:xfrm>
          <a:off x="9481039" y="139212"/>
          <a:ext cx="724099" cy="225083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BUSCAR</a:t>
          </a:r>
          <a:endParaRPr lang="es-PE" sz="1100" b="1"/>
        </a:p>
      </xdr:txBody>
    </xdr:sp>
    <xdr:clientData/>
  </xdr:twoCellAnchor>
  <xdr:twoCellAnchor>
    <xdr:from>
      <xdr:col>9</xdr:col>
      <xdr:colOff>850032</xdr:colOff>
      <xdr:row>0</xdr:row>
      <xdr:rowOff>147642</xdr:rowOff>
    </xdr:from>
    <xdr:to>
      <xdr:col>10</xdr:col>
      <xdr:colOff>518555</xdr:colOff>
      <xdr:row>0</xdr:row>
      <xdr:rowOff>373390</xdr:rowOff>
    </xdr:to>
    <xdr:sp macro="[0]!limpiarMasivo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8C78B222-A2CF-4915-AD9E-D5C03D1B72EB}"/>
            </a:ext>
          </a:extLst>
        </xdr:cNvPr>
        <xdr:cNvSpPr/>
      </xdr:nvSpPr>
      <xdr:spPr>
        <a:xfrm>
          <a:off x="10345724" y="147642"/>
          <a:ext cx="723600" cy="225748"/>
        </a:xfrm>
        <a:prstGeom prst="roundRect">
          <a:avLst/>
        </a:prstGeom>
        <a:solidFill>
          <a:srgbClr val="D8201C"/>
        </a:solidFill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800" b="1"/>
            <a:t>LIMPIAR</a:t>
          </a:r>
          <a:endParaRPr lang="es-PE" sz="1100" b="1"/>
        </a:p>
      </xdr:txBody>
    </xdr:sp>
    <xdr:clientData/>
  </xdr:twoCellAnchor>
  <xdr:twoCellAnchor>
    <xdr:from>
      <xdr:col>0</xdr:col>
      <xdr:colOff>696058</xdr:colOff>
      <xdr:row>0</xdr:row>
      <xdr:rowOff>183173</xdr:rowOff>
    </xdr:from>
    <xdr:to>
      <xdr:col>2</xdr:col>
      <xdr:colOff>29308</xdr:colOff>
      <xdr:row>0</xdr:row>
      <xdr:rowOff>402981</xdr:rowOff>
    </xdr:to>
    <xdr:sp macro="[0]!CopiarDatosFiltrados" textlink="">
      <xdr:nvSpPr>
        <xdr:cNvPr id="4" name="Rectángulo redondeado 3"/>
        <xdr:cNvSpPr/>
      </xdr:nvSpPr>
      <xdr:spPr>
        <a:xfrm>
          <a:off x="696058" y="183173"/>
          <a:ext cx="857250" cy="219808"/>
        </a:xfrm>
        <a:prstGeom prst="round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es-PE" sz="800"/>
            <a:t>GENERAR</a:t>
          </a:r>
          <a:r>
            <a:rPr lang="es-PE" sz="800" baseline="0"/>
            <a:t> CP</a:t>
          </a:r>
          <a:endParaRPr lang="es-PE" sz="800"/>
        </a:p>
      </xdr:txBody>
    </xdr:sp>
    <xdr:clientData/>
  </xdr:twoCellAnchor>
  <xdr:twoCellAnchor>
    <xdr:from>
      <xdr:col>2</xdr:col>
      <xdr:colOff>322384</xdr:colOff>
      <xdr:row>0</xdr:row>
      <xdr:rowOff>219808</xdr:rowOff>
    </xdr:from>
    <xdr:to>
      <xdr:col>3</xdr:col>
      <xdr:colOff>234460</xdr:colOff>
      <xdr:row>0</xdr:row>
      <xdr:rowOff>402981</xdr:rowOff>
    </xdr:to>
    <xdr:sp macro="[0]!ExportarMasivoATXT" textlink="">
      <xdr:nvSpPr>
        <xdr:cNvPr id="5" name="Rectángulo redondeado 4"/>
        <xdr:cNvSpPr/>
      </xdr:nvSpPr>
      <xdr:spPr>
        <a:xfrm>
          <a:off x="1846384" y="219808"/>
          <a:ext cx="967153" cy="183173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800"/>
            <a:t>GUARDAR</a:t>
          </a:r>
          <a:r>
            <a:rPr lang="es-PE" sz="800" baseline="0"/>
            <a:t> TXT</a:t>
          </a:r>
          <a:endParaRPr lang="es-PE" sz="8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0:E15" totalsRowShown="0" headerRowDxfId="5">
  <tableColumns count="5">
    <tableColumn id="1" name="COD"/>
    <tableColumn id="2" name="Client_id:"/>
    <tableColumn id="3" name="Client_secret:"/>
    <tableColumn id="4" name="RUC"/>
    <tableColumn id="5" name="RAZON SOCIAL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E158" totalsRowShown="0" headerRowDxfId="4" headerRowBorderDxfId="3" dataCellStyle="Normal 4">
  <tableColumns count="31">
    <tableColumn id="1" name="FECHA_EMISION" dataDxfId="2" dataCellStyle="Normal 4"/>
    <tableColumn id="2" name="FECHA_VENCIMIENTO" dataDxfId="1" dataCellStyle="Normal 4"/>
    <tableColumn id="3" name="FECHA_PAGO" dataDxfId="0" dataCellStyle="Normal 4"/>
    <tableColumn id="4" name="ORIGEN_ASIENTO" dataCellStyle="Normal 4"/>
    <tableColumn id="5" name="TD" dataCellStyle="Normal 4"/>
    <tableColumn id="6" name="SERIE" dataCellStyle="Normal 4"/>
    <tableColumn id="7" name="NRO_DOCUMENTO" dataCellStyle="Normal 4"/>
    <tableColumn id="8" name="TIPO_DOC" dataCellStyle="Normal 4"/>
    <tableColumn id="9" name="NRO_RUC" dataCellStyle="Normal 4"/>
    <tableColumn id="10" name="CODIGO_AUXILIAR" dataCellStyle="Normal 4"/>
    <tableColumn id="11" name="NOMBRE_O_RAZON_SOCIAL" dataCellStyle="Normal 4"/>
    <tableColumn id="12" name="MONEDA" dataCellStyle="Normal 4"/>
    <tableColumn id="13" name="IMPORTE_DOCUMENTO" dataCellStyle="Normal 4"/>
    <tableColumn id="14" name="BASE_IMPONIBLE" dataCellStyle="Normal 4"/>
    <tableColumn id="15" name="AD_VALOREM_DERECHO_AFECTO" dataCellStyle="Normal 4"/>
    <tableColumn id="16" name="NOGRAV" dataCellStyle="Normal 4"/>
    <tableColumn id="17" name="COMPRAS_INAFECTAS" dataCellStyle="Normal 4"/>
    <tableColumn id="18" name="IGV_AFECTO" dataCellStyle="Normal 4"/>
    <tableColumn id="19" name="IGV_INAFECTO" dataCellStyle="Normal 4"/>
    <tableColumn id="20" name="IMPORTE_TOTAL" dataCellStyle="Normal 4"/>
    <tableColumn id="21" name="DETRAC_DEPOSITO" dataCellStyle="Normal 4"/>
    <tableColumn id="22" name="FECHA_DEPOSITO"/>
    <tableColumn id="23" name="BASE_IMPONI_ND" dataCellStyle="Normal 4"/>
    <tableColumn id="24" name="IMP_IGV_ND" dataCellStyle="Normal 4"/>
    <tableColumn id="25" name="TIPO_DE_CAMBIO" dataCellStyle="Normal 4"/>
    <tableColumn id="26" name="DOC_REFERENCIA" dataCellStyle="Normal 4"/>
    <tableColumn id="27" name="NUMERO_DOCUMENTO_DE_REFERENCIA" dataCellStyle="Normal 4"/>
    <tableColumn id="28" name="CÓDIGO_OFICIAL" dataCellStyle="Normal 4"/>
    <tableColumn id="29" name="FECHA_DOCUMENTO_DE_REFERENCIA" dataCellStyle="Normal 4"/>
    <tableColumn id="30" name="FECHA_DE_EMISION" dataCellStyle="Normal 4"/>
    <tableColumn id="31" name="FECHA_REGISTRO" dataCellStyle="Normal 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ingluisrojas" TargetMode="External"/><Relationship Id="rId1" Type="http://schemas.openxmlformats.org/officeDocument/2006/relationships/hyperlink" Target="http://www.tutorialesexcel.com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Token"/>
  <dimension ref="A1:E15"/>
  <sheetViews>
    <sheetView zoomScale="160" zoomScaleNormal="160" workbookViewId="0">
      <selection activeCell="C3" sqref="C3"/>
    </sheetView>
  </sheetViews>
  <sheetFormatPr baseColWidth="10" defaultRowHeight="16.5"/>
  <cols>
    <col min="1" max="1" width="3" customWidth="1"/>
    <col min="2" max="2" width="33.625" customWidth="1"/>
    <col min="3" max="3" width="32.5" customWidth="1"/>
    <col min="4" max="4" width="11.375" customWidth="1"/>
    <col min="5" max="5" width="28.25" customWidth="1"/>
  </cols>
  <sheetData>
    <row r="1" spans="1:5" s="1" customFormat="1" ht="36" customHeight="1">
      <c r="A1" s="29" t="s">
        <v>65</v>
      </c>
      <c r="B1" s="30"/>
      <c r="C1" s="30"/>
      <c r="D1" s="30"/>
      <c r="E1" s="31" t="s">
        <v>70</v>
      </c>
    </row>
    <row r="2" spans="1:5" s="1" customFormat="1" ht="20.25" customHeight="1">
      <c r="A2" s="32" t="s">
        <v>5</v>
      </c>
      <c r="B2" s="33"/>
      <c r="C2" s="33"/>
      <c r="D2" s="33"/>
      <c r="E2" s="31"/>
    </row>
    <row r="3" spans="1:5">
      <c r="B3" s="3" t="s">
        <v>184</v>
      </c>
      <c r="C3" s="14" t="s">
        <v>193</v>
      </c>
    </row>
    <row r="4" spans="1:5">
      <c r="B4" s="3" t="s">
        <v>26</v>
      </c>
      <c r="C4" s="14">
        <f>VLOOKUP(C3,Tabla1[],4,FALSE)</f>
        <v>20538604781</v>
      </c>
    </row>
    <row r="5" spans="1:5">
      <c r="B5" s="3" t="s">
        <v>24</v>
      </c>
      <c r="C5" s="14" t="str">
        <f>VLOOKUP(C3,Tabla1[],2,FALSE)</f>
        <v>16dbb950-d7a2-4696-8424-97c499ad920e</v>
      </c>
    </row>
    <row r="6" spans="1:5">
      <c r="B6" s="3" t="s">
        <v>25</v>
      </c>
      <c r="C6" s="14" t="str">
        <f>VLOOKUP(C3,Tabla1[],3,FALSE)</f>
        <v>XZM8tQcYAUG3h+RmD182rw==</v>
      </c>
    </row>
    <row r="10" spans="1:5" s="15" customFormat="1" ht="12">
      <c r="A10" s="15" t="s">
        <v>184</v>
      </c>
      <c r="B10" s="15" t="s">
        <v>24</v>
      </c>
      <c r="C10" s="15" t="s">
        <v>25</v>
      </c>
      <c r="D10" s="15" t="s">
        <v>182</v>
      </c>
      <c r="E10" s="15" t="s">
        <v>183</v>
      </c>
    </row>
    <row r="11" spans="1:5">
      <c r="A11" t="s">
        <v>190</v>
      </c>
      <c r="B11" t="s">
        <v>195</v>
      </c>
      <c r="C11" t="s">
        <v>196</v>
      </c>
      <c r="D11">
        <v>20509622451</v>
      </c>
      <c r="E11" t="s">
        <v>185</v>
      </c>
    </row>
    <row r="12" spans="1:5">
      <c r="A12" t="s">
        <v>191</v>
      </c>
      <c r="B12" t="s">
        <v>199</v>
      </c>
      <c r="C12" t="s">
        <v>200</v>
      </c>
      <c r="D12">
        <v>20516093367</v>
      </c>
      <c r="E12" t="s">
        <v>186</v>
      </c>
    </row>
    <row r="13" spans="1:5">
      <c r="A13" t="s">
        <v>194</v>
      </c>
      <c r="B13" t="s">
        <v>197</v>
      </c>
      <c r="C13" t="s">
        <v>198</v>
      </c>
      <c r="D13">
        <v>20505172419</v>
      </c>
      <c r="E13" t="s">
        <v>187</v>
      </c>
    </row>
    <row r="14" spans="1:5">
      <c r="A14" t="s">
        <v>192</v>
      </c>
      <c r="B14" t="s">
        <v>71</v>
      </c>
      <c r="C14" t="s">
        <v>72</v>
      </c>
      <c r="D14">
        <v>20544073517</v>
      </c>
      <c r="E14" t="s">
        <v>188</v>
      </c>
    </row>
    <row r="15" spans="1:5">
      <c r="A15" t="s">
        <v>193</v>
      </c>
      <c r="B15" t="s">
        <v>201</v>
      </c>
      <c r="C15" t="s">
        <v>202</v>
      </c>
      <c r="D15">
        <v>20538604781</v>
      </c>
      <c r="E15" t="s">
        <v>189</v>
      </c>
    </row>
  </sheetData>
  <mergeCells count="3">
    <mergeCell ref="A1:D1"/>
    <mergeCell ref="E1:E2"/>
    <mergeCell ref="A2:D2"/>
  </mergeCells>
  <dataValidations count="1">
    <dataValidation type="list" allowBlank="1" showInputMessage="1" showErrorMessage="1" sqref="C3">
      <formula1>$A$11:$A$15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AE158"/>
  <sheetViews>
    <sheetView topLeftCell="A112" workbookViewId="0">
      <selection activeCell="A128" sqref="A128:XFD128"/>
    </sheetView>
  </sheetViews>
  <sheetFormatPr baseColWidth="10" defaultRowHeight="16.5"/>
  <cols>
    <col min="1" max="2" width="10.625" customWidth="1"/>
    <col min="3" max="3" width="12.875" customWidth="1"/>
    <col min="4" max="4" width="10.75" customWidth="1"/>
    <col min="5" max="5" width="4.875" customWidth="1"/>
    <col min="6" max="6" width="7.5" customWidth="1"/>
    <col min="7" max="7" width="11.875" customWidth="1"/>
    <col min="8" max="8" width="4" customWidth="1"/>
    <col min="9" max="10" width="11.75" customWidth="1"/>
    <col min="11" max="11" width="25.25" customWidth="1"/>
    <col min="12" max="12" width="4" customWidth="1"/>
    <col min="13" max="13" width="14.5" customWidth="1"/>
    <col min="14" max="14" width="11.625" customWidth="1"/>
    <col min="15" max="15" width="8.375" customWidth="1"/>
    <col min="16" max="16" width="9.75" customWidth="1"/>
    <col min="17" max="17" width="9.25" customWidth="1"/>
    <col min="18" max="18" width="13" customWidth="1"/>
    <col min="19" max="19" width="7.875" customWidth="1"/>
    <col min="20" max="20" width="16.375" customWidth="1"/>
    <col min="21" max="21" width="8.75" customWidth="1"/>
    <col min="22" max="22" width="10.5" customWidth="1"/>
    <col min="23" max="23" width="11" customWidth="1"/>
    <col min="24" max="24" width="7.5" customWidth="1"/>
    <col min="25" max="25" width="6.25" customWidth="1"/>
    <col min="26" max="26" width="5.125" customWidth="1"/>
    <col min="27" max="27" width="12.75" customWidth="1"/>
    <col min="28" max="28" width="5" customWidth="1"/>
    <col min="29" max="29" width="10.875" customWidth="1"/>
    <col min="30" max="30" width="9.75" customWidth="1"/>
    <col min="31" max="31" width="18.375" customWidth="1"/>
  </cols>
  <sheetData>
    <row r="1" spans="1:31" ht="18" customHeight="1" thickBot="1">
      <c r="A1" s="12" t="s">
        <v>79</v>
      </c>
      <c r="B1" s="13" t="s">
        <v>80</v>
      </c>
      <c r="C1" s="13" t="s">
        <v>81</v>
      </c>
      <c r="D1" s="13" t="s">
        <v>82</v>
      </c>
      <c r="E1" s="13" t="s">
        <v>83</v>
      </c>
      <c r="F1" s="13" t="s">
        <v>84</v>
      </c>
      <c r="G1" s="13" t="s">
        <v>85</v>
      </c>
      <c r="H1" s="13" t="s">
        <v>86</v>
      </c>
      <c r="I1" s="13" t="s">
        <v>87</v>
      </c>
      <c r="J1" s="13" t="s">
        <v>88</v>
      </c>
      <c r="K1" s="13" t="s">
        <v>89</v>
      </c>
      <c r="L1" s="13" t="s">
        <v>90</v>
      </c>
      <c r="M1" s="13" t="s">
        <v>91</v>
      </c>
      <c r="N1" s="13" t="s">
        <v>92</v>
      </c>
      <c r="O1" s="13" t="s">
        <v>93</v>
      </c>
      <c r="P1" s="13" t="s">
        <v>94</v>
      </c>
      <c r="Q1" s="13" t="s">
        <v>95</v>
      </c>
      <c r="R1" s="13" t="s">
        <v>96</v>
      </c>
      <c r="S1" s="13" t="s">
        <v>97</v>
      </c>
      <c r="T1" s="13" t="s">
        <v>98</v>
      </c>
      <c r="U1" s="13" t="s">
        <v>99</v>
      </c>
      <c r="V1" s="13" t="s">
        <v>100</v>
      </c>
      <c r="W1" s="13" t="s">
        <v>101</v>
      </c>
      <c r="X1" s="13" t="s">
        <v>102</v>
      </c>
      <c r="Y1" s="13" t="s">
        <v>103</v>
      </c>
      <c r="Z1" s="13" t="s">
        <v>104</v>
      </c>
      <c r="AA1" s="13" t="s">
        <v>105</v>
      </c>
      <c r="AB1" s="13" t="s">
        <v>106</v>
      </c>
      <c r="AC1" s="13" t="s">
        <v>107</v>
      </c>
      <c r="AD1" s="13" t="s">
        <v>108</v>
      </c>
      <c r="AE1" s="13" t="s">
        <v>109</v>
      </c>
    </row>
    <row r="2" spans="1:31" ht="17.25" thickTop="1">
      <c r="A2" s="27">
        <v>45780</v>
      </c>
      <c r="B2" s="27">
        <v>45810</v>
      </c>
      <c r="C2" s="27">
        <v>45780</v>
      </c>
      <c r="D2" s="28" t="s">
        <v>110</v>
      </c>
      <c r="E2" s="28" t="s">
        <v>111</v>
      </c>
      <c r="F2" s="28" t="s">
        <v>112</v>
      </c>
      <c r="G2" s="28" t="s">
        <v>291</v>
      </c>
      <c r="H2" s="28" t="s">
        <v>113</v>
      </c>
      <c r="I2" s="28" t="s">
        <v>292</v>
      </c>
      <c r="J2" s="28" t="s">
        <v>293</v>
      </c>
      <c r="K2" s="28" t="s">
        <v>294</v>
      </c>
      <c r="L2" s="28" t="s">
        <v>114</v>
      </c>
      <c r="M2" s="26">
        <v>246.67</v>
      </c>
      <c r="N2" s="26">
        <v>209.04</v>
      </c>
      <c r="O2" s="26">
        <v>0</v>
      </c>
      <c r="P2" s="26">
        <v>0</v>
      </c>
      <c r="Q2" s="26">
        <v>0</v>
      </c>
      <c r="R2" s="26">
        <v>37.630000000000003</v>
      </c>
      <c r="S2" s="26">
        <v>0</v>
      </c>
      <c r="T2" s="26">
        <v>246.67</v>
      </c>
      <c r="U2" s="28" t="s">
        <v>115</v>
      </c>
      <c r="V2" s="26"/>
      <c r="W2" s="26">
        <v>0</v>
      </c>
      <c r="X2" s="26">
        <v>0</v>
      </c>
      <c r="Y2" s="26">
        <v>3.665</v>
      </c>
      <c r="Z2" s="28" t="s">
        <v>116</v>
      </c>
      <c r="AA2" s="28" t="s">
        <v>117</v>
      </c>
      <c r="AB2" s="26"/>
      <c r="AC2" s="28" t="s">
        <v>118</v>
      </c>
      <c r="AD2" s="28" t="s">
        <v>295</v>
      </c>
      <c r="AE2" s="28" t="s">
        <v>295</v>
      </c>
    </row>
    <row r="3" spans="1:31">
      <c r="A3" s="27">
        <v>45782</v>
      </c>
      <c r="B3" s="27">
        <v>45782</v>
      </c>
      <c r="C3" s="27">
        <v>45782</v>
      </c>
      <c r="D3" s="28" t="s">
        <v>120</v>
      </c>
      <c r="E3" s="28" t="s">
        <v>111</v>
      </c>
      <c r="F3" s="28" t="s">
        <v>203</v>
      </c>
      <c r="G3" s="28" t="s">
        <v>296</v>
      </c>
      <c r="H3" s="28" t="s">
        <v>113</v>
      </c>
      <c r="I3" s="28" t="s">
        <v>205</v>
      </c>
      <c r="J3" s="28" t="s">
        <v>204</v>
      </c>
      <c r="K3" s="28" t="s">
        <v>206</v>
      </c>
      <c r="L3" s="28" t="s">
        <v>125</v>
      </c>
      <c r="M3" s="26">
        <v>1261.68</v>
      </c>
      <c r="N3" s="26">
        <v>3918.69</v>
      </c>
      <c r="O3" s="26">
        <v>0</v>
      </c>
      <c r="P3" s="26">
        <v>0</v>
      </c>
      <c r="Q3" s="26">
        <v>0</v>
      </c>
      <c r="R3" s="26">
        <v>705.37</v>
      </c>
      <c r="S3" s="26">
        <v>0</v>
      </c>
      <c r="T3" s="26">
        <v>4624.0600000000004</v>
      </c>
      <c r="U3" s="28" t="s">
        <v>297</v>
      </c>
      <c r="V3" s="27">
        <v>45789</v>
      </c>
      <c r="W3" s="26">
        <v>0</v>
      </c>
      <c r="X3" s="26">
        <v>0</v>
      </c>
      <c r="Y3" s="26">
        <v>3.665</v>
      </c>
      <c r="Z3" s="28" t="s">
        <v>116</v>
      </c>
      <c r="AA3" s="28" t="s">
        <v>117</v>
      </c>
      <c r="AB3" s="26"/>
      <c r="AC3" s="28" t="s">
        <v>118</v>
      </c>
      <c r="AD3" s="28" t="s">
        <v>207</v>
      </c>
      <c r="AE3" s="28" t="s">
        <v>207</v>
      </c>
    </row>
    <row r="4" spans="1:31">
      <c r="A4" s="27">
        <v>45783</v>
      </c>
      <c r="B4" s="27">
        <v>45783</v>
      </c>
      <c r="C4" s="27">
        <v>45783</v>
      </c>
      <c r="D4" s="28" t="s">
        <v>122</v>
      </c>
      <c r="E4" s="28" t="s">
        <v>111</v>
      </c>
      <c r="F4" s="28" t="s">
        <v>203</v>
      </c>
      <c r="G4" s="28" t="s">
        <v>298</v>
      </c>
      <c r="H4" s="28" t="s">
        <v>113</v>
      </c>
      <c r="I4" s="28" t="s">
        <v>205</v>
      </c>
      <c r="J4" s="28" t="s">
        <v>204</v>
      </c>
      <c r="K4" s="28" t="s">
        <v>206</v>
      </c>
      <c r="L4" s="28" t="s">
        <v>114</v>
      </c>
      <c r="M4" s="26">
        <v>2065</v>
      </c>
      <c r="N4" s="26">
        <v>1750</v>
      </c>
      <c r="O4" s="26">
        <v>0</v>
      </c>
      <c r="P4" s="26">
        <v>0</v>
      </c>
      <c r="Q4" s="26">
        <v>0</v>
      </c>
      <c r="R4" s="26">
        <v>315</v>
      </c>
      <c r="S4" s="26">
        <v>0</v>
      </c>
      <c r="T4" s="26">
        <v>2065</v>
      </c>
      <c r="U4" s="28" t="s">
        <v>474</v>
      </c>
      <c r="V4" s="27">
        <v>45789</v>
      </c>
      <c r="W4" s="26">
        <v>0</v>
      </c>
      <c r="X4" s="26">
        <v>0</v>
      </c>
      <c r="Y4" s="26">
        <v>3.6619999999999999</v>
      </c>
      <c r="Z4" s="28" t="s">
        <v>116</v>
      </c>
      <c r="AA4" s="28" t="s">
        <v>117</v>
      </c>
      <c r="AB4" s="26"/>
      <c r="AC4" s="28" t="s">
        <v>118</v>
      </c>
      <c r="AD4" s="28" t="s">
        <v>208</v>
      </c>
      <c r="AE4" s="28" t="s">
        <v>208</v>
      </c>
    </row>
    <row r="5" spans="1:31">
      <c r="A5" s="27">
        <v>45783</v>
      </c>
      <c r="B5" s="27">
        <v>45813</v>
      </c>
      <c r="C5" s="27">
        <v>45783</v>
      </c>
      <c r="D5" s="28" t="s">
        <v>119</v>
      </c>
      <c r="E5" s="28" t="s">
        <v>111</v>
      </c>
      <c r="F5" s="28" t="s">
        <v>112</v>
      </c>
      <c r="G5" s="28" t="s">
        <v>299</v>
      </c>
      <c r="H5" s="28" t="s">
        <v>113</v>
      </c>
      <c r="I5" s="28" t="s">
        <v>292</v>
      </c>
      <c r="J5" s="28" t="s">
        <v>293</v>
      </c>
      <c r="K5" s="28" t="s">
        <v>294</v>
      </c>
      <c r="L5" s="28" t="s">
        <v>114</v>
      </c>
      <c r="M5" s="26">
        <v>206.59</v>
      </c>
      <c r="N5" s="26">
        <v>175.08</v>
      </c>
      <c r="O5" s="26">
        <v>0</v>
      </c>
      <c r="P5" s="26">
        <v>0</v>
      </c>
      <c r="Q5" s="26">
        <v>0</v>
      </c>
      <c r="R5" s="26">
        <v>31.51</v>
      </c>
      <c r="S5" s="26">
        <v>0</v>
      </c>
      <c r="T5" s="26">
        <v>206.59</v>
      </c>
      <c r="U5" s="28" t="s">
        <v>115</v>
      </c>
      <c r="V5" s="26"/>
      <c r="W5" s="26">
        <v>0</v>
      </c>
      <c r="X5" s="26">
        <v>0</v>
      </c>
      <c r="Y5" s="26">
        <v>3.6619999999999999</v>
      </c>
      <c r="Z5" s="28" t="s">
        <v>116</v>
      </c>
      <c r="AA5" s="28" t="s">
        <v>117</v>
      </c>
      <c r="AB5" s="26"/>
      <c r="AC5" s="28" t="s">
        <v>118</v>
      </c>
      <c r="AD5" s="28" t="s">
        <v>208</v>
      </c>
      <c r="AE5" s="28" t="s">
        <v>208</v>
      </c>
    </row>
    <row r="6" spans="1:31">
      <c r="A6" s="27">
        <v>45789</v>
      </c>
      <c r="B6" s="27">
        <v>45791</v>
      </c>
      <c r="C6" s="27">
        <v>45789</v>
      </c>
      <c r="D6" s="28" t="s">
        <v>300</v>
      </c>
      <c r="E6" s="28" t="s">
        <v>231</v>
      </c>
      <c r="F6" s="28" t="s">
        <v>232</v>
      </c>
      <c r="G6" s="28" t="s">
        <v>301</v>
      </c>
      <c r="H6" s="28" t="s">
        <v>113</v>
      </c>
      <c r="I6" s="28" t="s">
        <v>233</v>
      </c>
      <c r="J6" s="28" t="s">
        <v>234</v>
      </c>
      <c r="K6" s="28" t="s">
        <v>235</v>
      </c>
      <c r="L6" s="28" t="s">
        <v>125</v>
      </c>
      <c r="M6" s="26">
        <v>21588</v>
      </c>
      <c r="N6" s="26">
        <v>438836.07</v>
      </c>
      <c r="O6" s="26">
        <v>0</v>
      </c>
      <c r="P6" s="26">
        <v>0</v>
      </c>
      <c r="Q6" s="26">
        <v>0</v>
      </c>
      <c r="R6" s="26">
        <v>78990.490000000005</v>
      </c>
      <c r="S6" s="26">
        <v>0</v>
      </c>
      <c r="T6" s="26">
        <v>517826.56</v>
      </c>
      <c r="U6" s="28" t="s">
        <v>115</v>
      </c>
      <c r="V6" s="26"/>
      <c r="W6" s="26">
        <v>0</v>
      </c>
      <c r="X6" s="26">
        <v>0</v>
      </c>
      <c r="Y6" s="26">
        <v>3.6589999999999998</v>
      </c>
      <c r="Z6" s="28" t="s">
        <v>116</v>
      </c>
      <c r="AA6" s="28" t="s">
        <v>117</v>
      </c>
      <c r="AB6" s="26"/>
      <c r="AC6" s="28" t="s">
        <v>118</v>
      </c>
      <c r="AD6" s="28" t="s">
        <v>270</v>
      </c>
      <c r="AE6" s="28" t="s">
        <v>270</v>
      </c>
    </row>
    <row r="7" spans="1:31">
      <c r="A7" s="27">
        <v>45790</v>
      </c>
      <c r="B7" s="27">
        <v>45790</v>
      </c>
      <c r="C7" s="27">
        <v>45790</v>
      </c>
      <c r="D7" s="28" t="s">
        <v>240</v>
      </c>
      <c r="E7" s="28" t="s">
        <v>111</v>
      </c>
      <c r="F7" s="28" t="s">
        <v>124</v>
      </c>
      <c r="G7" s="28" t="s">
        <v>302</v>
      </c>
      <c r="H7" s="28" t="s">
        <v>113</v>
      </c>
      <c r="I7" s="28" t="s">
        <v>237</v>
      </c>
      <c r="J7" s="28" t="s">
        <v>238</v>
      </c>
      <c r="K7" s="28" t="s">
        <v>239</v>
      </c>
      <c r="L7" s="28" t="s">
        <v>125</v>
      </c>
      <c r="M7" s="26">
        <v>1534</v>
      </c>
      <c r="N7" s="26">
        <v>4760.6000000000004</v>
      </c>
      <c r="O7" s="26">
        <v>0</v>
      </c>
      <c r="P7" s="26">
        <v>0</v>
      </c>
      <c r="Q7" s="26">
        <v>0</v>
      </c>
      <c r="R7" s="26">
        <v>856.91</v>
      </c>
      <c r="S7" s="26">
        <v>0</v>
      </c>
      <c r="T7" s="26">
        <v>5617.51</v>
      </c>
      <c r="U7" s="28" t="s">
        <v>115</v>
      </c>
      <c r="V7" s="26"/>
      <c r="W7" s="26">
        <v>0</v>
      </c>
      <c r="X7" s="26">
        <v>0</v>
      </c>
      <c r="Y7" s="26">
        <v>3.6619999999999999</v>
      </c>
      <c r="Z7" s="28" t="s">
        <v>116</v>
      </c>
      <c r="AA7" s="28" t="s">
        <v>117</v>
      </c>
      <c r="AB7" s="26"/>
      <c r="AC7" s="28" t="s">
        <v>118</v>
      </c>
      <c r="AD7" s="28" t="s">
        <v>209</v>
      </c>
      <c r="AE7" s="28" t="s">
        <v>209</v>
      </c>
    </row>
    <row r="8" spans="1:31">
      <c r="A8" s="27">
        <v>45790</v>
      </c>
      <c r="B8" s="27">
        <v>45790</v>
      </c>
      <c r="C8" s="27">
        <v>45790</v>
      </c>
      <c r="D8" s="28" t="s">
        <v>241</v>
      </c>
      <c r="E8" s="28" t="s">
        <v>111</v>
      </c>
      <c r="F8" s="28" t="s">
        <v>124</v>
      </c>
      <c r="G8" s="28" t="s">
        <v>303</v>
      </c>
      <c r="H8" s="28" t="s">
        <v>113</v>
      </c>
      <c r="I8" s="28" t="s">
        <v>237</v>
      </c>
      <c r="J8" s="28" t="s">
        <v>238</v>
      </c>
      <c r="K8" s="28" t="s">
        <v>239</v>
      </c>
      <c r="L8" s="28" t="s">
        <v>125</v>
      </c>
      <c r="M8" s="26">
        <v>4380</v>
      </c>
      <c r="N8" s="26">
        <v>0</v>
      </c>
      <c r="O8" s="26">
        <v>0</v>
      </c>
      <c r="P8" s="26">
        <v>16039.56</v>
      </c>
      <c r="Q8" s="26">
        <v>0</v>
      </c>
      <c r="R8" s="26">
        <v>0</v>
      </c>
      <c r="S8" s="26">
        <v>0</v>
      </c>
      <c r="T8" s="26">
        <v>16039.56</v>
      </c>
      <c r="U8" s="28" t="s">
        <v>115</v>
      </c>
      <c r="V8" s="26"/>
      <c r="W8" s="26">
        <v>0</v>
      </c>
      <c r="X8" s="26">
        <v>0</v>
      </c>
      <c r="Y8" s="26">
        <v>3.6619999999999999</v>
      </c>
      <c r="Z8" s="28" t="s">
        <v>116</v>
      </c>
      <c r="AA8" s="28" t="s">
        <v>117</v>
      </c>
      <c r="AB8" s="26"/>
      <c r="AC8" s="28" t="s">
        <v>118</v>
      </c>
      <c r="AD8" s="28" t="s">
        <v>209</v>
      </c>
      <c r="AE8" s="28" t="s">
        <v>209</v>
      </c>
    </row>
    <row r="9" spans="1:31">
      <c r="A9" s="27">
        <v>45790</v>
      </c>
      <c r="B9" s="27">
        <v>45820</v>
      </c>
      <c r="C9" s="27">
        <v>45790</v>
      </c>
      <c r="D9" s="28" t="s">
        <v>121</v>
      </c>
      <c r="E9" s="28" t="s">
        <v>111</v>
      </c>
      <c r="F9" s="28" t="s">
        <v>112</v>
      </c>
      <c r="G9" s="28" t="s">
        <v>304</v>
      </c>
      <c r="H9" s="28" t="s">
        <v>113</v>
      </c>
      <c r="I9" s="28" t="s">
        <v>292</v>
      </c>
      <c r="J9" s="28" t="s">
        <v>293</v>
      </c>
      <c r="K9" s="28" t="s">
        <v>294</v>
      </c>
      <c r="L9" s="28" t="s">
        <v>114</v>
      </c>
      <c r="M9" s="26">
        <v>86.52</v>
      </c>
      <c r="N9" s="26">
        <v>73.319999999999993</v>
      </c>
      <c r="O9" s="26">
        <v>0</v>
      </c>
      <c r="P9" s="26">
        <v>0</v>
      </c>
      <c r="Q9" s="26">
        <v>0</v>
      </c>
      <c r="R9" s="26">
        <v>13.2</v>
      </c>
      <c r="S9" s="26">
        <v>0</v>
      </c>
      <c r="T9" s="26">
        <v>86.52</v>
      </c>
      <c r="U9" s="28" t="s">
        <v>115</v>
      </c>
      <c r="V9" s="26"/>
      <c r="W9" s="26">
        <v>0</v>
      </c>
      <c r="X9" s="26">
        <v>0</v>
      </c>
      <c r="Y9" s="26">
        <v>3.6619999999999999</v>
      </c>
      <c r="Z9" s="28" t="s">
        <v>116</v>
      </c>
      <c r="AA9" s="28" t="s">
        <v>117</v>
      </c>
      <c r="AB9" s="26"/>
      <c r="AC9" s="28" t="s">
        <v>118</v>
      </c>
      <c r="AD9" s="28" t="s">
        <v>209</v>
      </c>
      <c r="AE9" s="28" t="s">
        <v>209</v>
      </c>
    </row>
    <row r="10" spans="1:31">
      <c r="A10" s="27">
        <v>45791</v>
      </c>
      <c r="B10" s="27">
        <v>45791</v>
      </c>
      <c r="C10" s="27">
        <v>45791</v>
      </c>
      <c r="D10" s="28" t="s">
        <v>126</v>
      </c>
      <c r="E10" s="28" t="s">
        <v>305</v>
      </c>
      <c r="F10" s="28" t="s">
        <v>210</v>
      </c>
      <c r="G10" s="28" t="s">
        <v>306</v>
      </c>
      <c r="H10" s="28" t="s">
        <v>113</v>
      </c>
      <c r="I10" s="28" t="s">
        <v>307</v>
      </c>
      <c r="J10" s="28" t="s">
        <v>308</v>
      </c>
      <c r="K10" s="28" t="s">
        <v>309</v>
      </c>
      <c r="L10" s="28" t="s">
        <v>125</v>
      </c>
      <c r="M10" s="26">
        <v>-5844.55</v>
      </c>
      <c r="N10" s="26">
        <v>-18192.41</v>
      </c>
      <c r="O10" s="26">
        <v>0</v>
      </c>
      <c r="P10" s="26">
        <v>0</v>
      </c>
      <c r="Q10" s="26">
        <v>0</v>
      </c>
      <c r="R10" s="26">
        <v>-3274.63</v>
      </c>
      <c r="S10" s="26">
        <v>0</v>
      </c>
      <c r="T10" s="26">
        <v>-21467.040000000001</v>
      </c>
      <c r="U10" s="28" t="s">
        <v>115</v>
      </c>
      <c r="V10" s="26"/>
      <c r="W10" s="26">
        <v>0</v>
      </c>
      <c r="X10" s="26">
        <v>0</v>
      </c>
      <c r="Y10" s="26">
        <v>3.673</v>
      </c>
      <c r="Z10" s="28" t="s">
        <v>310</v>
      </c>
      <c r="AA10" s="28" t="s">
        <v>311</v>
      </c>
      <c r="AB10" s="28" t="s">
        <v>111</v>
      </c>
      <c r="AC10" s="28" t="s">
        <v>312</v>
      </c>
      <c r="AD10" s="28" t="s">
        <v>211</v>
      </c>
      <c r="AE10" s="28" t="s">
        <v>211</v>
      </c>
    </row>
    <row r="11" spans="1:31">
      <c r="A11" s="27">
        <v>45791</v>
      </c>
      <c r="B11" s="27">
        <v>45793</v>
      </c>
      <c r="C11" s="27">
        <v>45791</v>
      </c>
      <c r="D11" s="28" t="s">
        <v>475</v>
      </c>
      <c r="E11" s="28" t="s">
        <v>231</v>
      </c>
      <c r="F11" s="28" t="s">
        <v>232</v>
      </c>
      <c r="G11" s="28" t="s">
        <v>476</v>
      </c>
      <c r="H11" s="28" t="s">
        <v>113</v>
      </c>
      <c r="I11" s="28" t="s">
        <v>233</v>
      </c>
      <c r="J11" s="28" t="s">
        <v>234</v>
      </c>
      <c r="K11" s="28" t="s">
        <v>235</v>
      </c>
      <c r="L11" s="28" t="s">
        <v>125</v>
      </c>
      <c r="M11" s="26">
        <v>12618</v>
      </c>
      <c r="N11" s="26">
        <v>258388.6</v>
      </c>
      <c r="O11" s="26">
        <v>0</v>
      </c>
      <c r="P11" s="26">
        <v>0</v>
      </c>
      <c r="Q11" s="26">
        <v>0</v>
      </c>
      <c r="R11" s="26">
        <v>46509.95</v>
      </c>
      <c r="S11" s="26">
        <v>0</v>
      </c>
      <c r="T11" s="26">
        <v>304898.55</v>
      </c>
      <c r="U11" s="28" t="s">
        <v>115</v>
      </c>
      <c r="V11" s="26"/>
      <c r="W11" s="26">
        <v>0</v>
      </c>
      <c r="X11" s="26">
        <v>0</v>
      </c>
      <c r="Y11" s="26">
        <v>3.6859999999999999</v>
      </c>
      <c r="Z11" s="28" t="s">
        <v>116</v>
      </c>
      <c r="AA11" s="28" t="s">
        <v>117</v>
      </c>
      <c r="AB11" s="26"/>
      <c r="AC11" s="28" t="s">
        <v>118</v>
      </c>
      <c r="AD11" s="28" t="s">
        <v>211</v>
      </c>
      <c r="AE11" s="28" t="s">
        <v>211</v>
      </c>
    </row>
    <row r="12" spans="1:31">
      <c r="A12" s="27">
        <v>45791</v>
      </c>
      <c r="B12" s="27">
        <v>45821</v>
      </c>
      <c r="C12" s="27">
        <v>45791</v>
      </c>
      <c r="D12" s="28" t="s">
        <v>123</v>
      </c>
      <c r="E12" s="28" t="s">
        <v>111</v>
      </c>
      <c r="F12" s="28" t="s">
        <v>112</v>
      </c>
      <c r="G12" s="28" t="s">
        <v>313</v>
      </c>
      <c r="H12" s="28" t="s">
        <v>113</v>
      </c>
      <c r="I12" s="28" t="s">
        <v>292</v>
      </c>
      <c r="J12" s="28" t="s">
        <v>293</v>
      </c>
      <c r="K12" s="28" t="s">
        <v>294</v>
      </c>
      <c r="L12" s="28" t="s">
        <v>114</v>
      </c>
      <c r="M12" s="26">
        <v>2127.1799999999998</v>
      </c>
      <c r="N12" s="26">
        <v>1802.69</v>
      </c>
      <c r="O12" s="26">
        <v>0</v>
      </c>
      <c r="P12" s="26">
        <v>0</v>
      </c>
      <c r="Q12" s="26">
        <v>0</v>
      </c>
      <c r="R12" s="26">
        <v>324.49</v>
      </c>
      <c r="S12" s="26">
        <v>0</v>
      </c>
      <c r="T12" s="26">
        <v>2127.1799999999998</v>
      </c>
      <c r="U12" s="28" t="s">
        <v>115</v>
      </c>
      <c r="V12" s="26"/>
      <c r="W12" s="26">
        <v>0</v>
      </c>
      <c r="X12" s="26">
        <v>0</v>
      </c>
      <c r="Y12" s="26">
        <v>3.6589999999999998</v>
      </c>
      <c r="Z12" s="28" t="s">
        <v>116</v>
      </c>
      <c r="AA12" s="28" t="s">
        <v>117</v>
      </c>
      <c r="AB12" s="26"/>
      <c r="AC12" s="28" t="s">
        <v>118</v>
      </c>
      <c r="AD12" s="28" t="s">
        <v>211</v>
      </c>
      <c r="AE12" s="28" t="s">
        <v>211</v>
      </c>
    </row>
    <row r="13" spans="1:31">
      <c r="A13" s="27">
        <v>45792</v>
      </c>
      <c r="B13" s="27">
        <v>45792</v>
      </c>
      <c r="C13" s="27">
        <v>45792</v>
      </c>
      <c r="D13" s="28" t="s">
        <v>245</v>
      </c>
      <c r="E13" s="28" t="s">
        <v>111</v>
      </c>
      <c r="F13" s="28" t="s">
        <v>210</v>
      </c>
      <c r="G13" s="28" t="s">
        <v>314</v>
      </c>
      <c r="H13" s="28" t="s">
        <v>113</v>
      </c>
      <c r="I13" s="28" t="s">
        <v>315</v>
      </c>
      <c r="J13" s="28" t="s">
        <v>316</v>
      </c>
      <c r="K13" s="28" t="s">
        <v>317</v>
      </c>
      <c r="L13" s="28" t="s">
        <v>125</v>
      </c>
      <c r="M13" s="26">
        <v>1055.27</v>
      </c>
      <c r="N13" s="26">
        <v>3292.81</v>
      </c>
      <c r="O13" s="26">
        <v>0</v>
      </c>
      <c r="P13" s="26">
        <v>0</v>
      </c>
      <c r="Q13" s="26">
        <v>0</v>
      </c>
      <c r="R13" s="26">
        <v>592.69000000000005</v>
      </c>
      <c r="S13" s="26">
        <v>0</v>
      </c>
      <c r="T13" s="26">
        <v>3885.5</v>
      </c>
      <c r="U13" s="28" t="s">
        <v>115</v>
      </c>
      <c r="V13" s="26"/>
      <c r="W13" s="26">
        <v>0</v>
      </c>
      <c r="X13" s="26">
        <v>0</v>
      </c>
      <c r="Y13" s="26">
        <v>3.6819999999999999</v>
      </c>
      <c r="Z13" s="28" t="s">
        <v>116</v>
      </c>
      <c r="AA13" s="28" t="s">
        <v>117</v>
      </c>
      <c r="AB13" s="26"/>
      <c r="AC13" s="28" t="s">
        <v>118</v>
      </c>
      <c r="AD13" s="28" t="s">
        <v>220</v>
      </c>
      <c r="AE13" s="28" t="s">
        <v>220</v>
      </c>
    </row>
    <row r="14" spans="1:31">
      <c r="A14" s="27">
        <v>45793</v>
      </c>
      <c r="B14" s="27">
        <v>45823</v>
      </c>
      <c r="C14" s="27">
        <v>45793</v>
      </c>
      <c r="D14" s="28" t="s">
        <v>127</v>
      </c>
      <c r="E14" s="28" t="s">
        <v>111</v>
      </c>
      <c r="F14" s="28" t="s">
        <v>112</v>
      </c>
      <c r="G14" s="28" t="s">
        <v>318</v>
      </c>
      <c r="H14" s="28" t="s">
        <v>113</v>
      </c>
      <c r="I14" s="28" t="s">
        <v>292</v>
      </c>
      <c r="J14" s="28" t="s">
        <v>293</v>
      </c>
      <c r="K14" s="28" t="s">
        <v>294</v>
      </c>
      <c r="L14" s="28" t="s">
        <v>114</v>
      </c>
      <c r="M14" s="26">
        <v>1692.48</v>
      </c>
      <c r="N14" s="26">
        <v>1434.31</v>
      </c>
      <c r="O14" s="26">
        <v>0</v>
      </c>
      <c r="P14" s="26">
        <v>0</v>
      </c>
      <c r="Q14" s="26">
        <v>0</v>
      </c>
      <c r="R14" s="26">
        <v>258.17</v>
      </c>
      <c r="S14" s="26">
        <v>0</v>
      </c>
      <c r="T14" s="26">
        <v>1692.48</v>
      </c>
      <c r="U14" s="28" t="s">
        <v>115</v>
      </c>
      <c r="V14" s="26"/>
      <c r="W14" s="26">
        <v>0</v>
      </c>
      <c r="X14" s="26">
        <v>0</v>
      </c>
      <c r="Y14" s="26">
        <v>3.6859999999999999</v>
      </c>
      <c r="Z14" s="28" t="s">
        <v>116</v>
      </c>
      <c r="AA14" s="28" t="s">
        <v>117</v>
      </c>
      <c r="AB14" s="26"/>
      <c r="AC14" s="28" t="s">
        <v>118</v>
      </c>
      <c r="AD14" s="28" t="s">
        <v>212</v>
      </c>
      <c r="AE14" s="28" t="s">
        <v>212</v>
      </c>
    </row>
    <row r="15" spans="1:31">
      <c r="A15" s="27">
        <v>45796</v>
      </c>
      <c r="B15" s="27">
        <v>45826</v>
      </c>
      <c r="C15" s="27">
        <v>45796</v>
      </c>
      <c r="D15" s="28" t="s">
        <v>173</v>
      </c>
      <c r="E15" s="28" t="s">
        <v>111</v>
      </c>
      <c r="F15" s="28" t="s">
        <v>112</v>
      </c>
      <c r="G15" s="28" t="s">
        <v>319</v>
      </c>
      <c r="H15" s="28" t="s">
        <v>113</v>
      </c>
      <c r="I15" s="28" t="s">
        <v>292</v>
      </c>
      <c r="J15" s="28" t="s">
        <v>293</v>
      </c>
      <c r="K15" s="28" t="s">
        <v>294</v>
      </c>
      <c r="L15" s="28" t="s">
        <v>114</v>
      </c>
      <c r="M15" s="26">
        <v>152.86000000000001</v>
      </c>
      <c r="N15" s="26">
        <v>129.54</v>
      </c>
      <c r="O15" s="26">
        <v>0</v>
      </c>
      <c r="P15" s="26">
        <v>0</v>
      </c>
      <c r="Q15" s="26">
        <v>0</v>
      </c>
      <c r="R15" s="26">
        <v>23.32</v>
      </c>
      <c r="S15" s="26">
        <v>0</v>
      </c>
      <c r="T15" s="26">
        <v>152.86000000000001</v>
      </c>
      <c r="U15" s="28" t="s">
        <v>115</v>
      </c>
      <c r="V15" s="26"/>
      <c r="W15" s="26">
        <v>0</v>
      </c>
      <c r="X15" s="26">
        <v>0</v>
      </c>
      <c r="Y15" s="26">
        <v>3.6960000000000002</v>
      </c>
      <c r="Z15" s="28" t="s">
        <v>116</v>
      </c>
      <c r="AA15" s="28" t="s">
        <v>117</v>
      </c>
      <c r="AB15" s="26"/>
      <c r="AC15" s="28" t="s">
        <v>118</v>
      </c>
      <c r="AD15" s="28" t="s">
        <v>213</v>
      </c>
      <c r="AE15" s="28" t="s">
        <v>213</v>
      </c>
    </row>
    <row r="16" spans="1:31">
      <c r="A16" s="27">
        <v>45798</v>
      </c>
      <c r="B16" s="27">
        <v>45798</v>
      </c>
      <c r="C16" s="27">
        <v>45798</v>
      </c>
      <c r="D16" s="28" t="s">
        <v>477</v>
      </c>
      <c r="E16" s="28" t="s">
        <v>111</v>
      </c>
      <c r="F16" s="28" t="s">
        <v>124</v>
      </c>
      <c r="G16" s="28" t="s">
        <v>478</v>
      </c>
      <c r="H16" s="28" t="s">
        <v>113</v>
      </c>
      <c r="I16" s="28" t="s">
        <v>237</v>
      </c>
      <c r="J16" s="28" t="s">
        <v>238</v>
      </c>
      <c r="K16" s="28" t="s">
        <v>239</v>
      </c>
      <c r="L16" s="28" t="s">
        <v>125</v>
      </c>
      <c r="M16" s="26">
        <v>1900</v>
      </c>
      <c r="N16" s="26">
        <v>0</v>
      </c>
      <c r="O16" s="26">
        <v>0</v>
      </c>
      <c r="P16" s="26">
        <v>7024.3</v>
      </c>
      <c r="Q16" s="26">
        <v>0</v>
      </c>
      <c r="R16" s="26">
        <v>0</v>
      </c>
      <c r="S16" s="26">
        <v>0</v>
      </c>
      <c r="T16" s="26">
        <v>7024.3</v>
      </c>
      <c r="U16" s="28" t="s">
        <v>115</v>
      </c>
      <c r="V16" s="26"/>
      <c r="W16" s="26">
        <v>0</v>
      </c>
      <c r="X16" s="26">
        <v>0</v>
      </c>
      <c r="Y16" s="26">
        <v>3.6970000000000001</v>
      </c>
      <c r="Z16" s="28" t="s">
        <v>116</v>
      </c>
      <c r="AA16" s="28" t="s">
        <v>117</v>
      </c>
      <c r="AB16" s="26"/>
      <c r="AC16" s="28" t="s">
        <v>118</v>
      </c>
      <c r="AD16" s="28" t="s">
        <v>250</v>
      </c>
      <c r="AE16" s="28" t="s">
        <v>250</v>
      </c>
    </row>
    <row r="17" spans="1:31">
      <c r="A17" s="27">
        <v>45798</v>
      </c>
      <c r="B17" s="27">
        <v>45798</v>
      </c>
      <c r="C17" s="27">
        <v>45798</v>
      </c>
      <c r="D17" s="28" t="s">
        <v>479</v>
      </c>
      <c r="E17" s="28" t="s">
        <v>111</v>
      </c>
      <c r="F17" s="28" t="s">
        <v>124</v>
      </c>
      <c r="G17" s="28" t="s">
        <v>480</v>
      </c>
      <c r="H17" s="28" t="s">
        <v>113</v>
      </c>
      <c r="I17" s="28" t="s">
        <v>237</v>
      </c>
      <c r="J17" s="28" t="s">
        <v>238</v>
      </c>
      <c r="K17" s="28" t="s">
        <v>239</v>
      </c>
      <c r="L17" s="28" t="s">
        <v>125</v>
      </c>
      <c r="M17" s="26">
        <v>519.20000000000005</v>
      </c>
      <c r="N17" s="26">
        <v>1626.68</v>
      </c>
      <c r="O17" s="26">
        <v>0</v>
      </c>
      <c r="P17" s="26">
        <v>0</v>
      </c>
      <c r="Q17" s="26">
        <v>0</v>
      </c>
      <c r="R17" s="26">
        <v>292.8</v>
      </c>
      <c r="S17" s="26">
        <v>0</v>
      </c>
      <c r="T17" s="26">
        <v>1919.48</v>
      </c>
      <c r="U17" s="28" t="s">
        <v>115</v>
      </c>
      <c r="V17" s="26"/>
      <c r="W17" s="26">
        <v>0</v>
      </c>
      <c r="X17" s="26">
        <v>0</v>
      </c>
      <c r="Y17" s="26">
        <v>3.6970000000000001</v>
      </c>
      <c r="Z17" s="28" t="s">
        <v>116</v>
      </c>
      <c r="AA17" s="28" t="s">
        <v>117</v>
      </c>
      <c r="AB17" s="26"/>
      <c r="AC17" s="28" t="s">
        <v>118</v>
      </c>
      <c r="AD17" s="28" t="s">
        <v>250</v>
      </c>
      <c r="AE17" s="28" t="s">
        <v>250</v>
      </c>
    </row>
    <row r="18" spans="1:31">
      <c r="A18" s="27">
        <v>45798</v>
      </c>
      <c r="B18" s="27">
        <v>45798</v>
      </c>
      <c r="C18" s="27">
        <v>45798</v>
      </c>
      <c r="D18" s="28" t="s">
        <v>481</v>
      </c>
      <c r="E18" s="28" t="s">
        <v>111</v>
      </c>
      <c r="F18" s="28" t="s">
        <v>124</v>
      </c>
      <c r="G18" s="28" t="s">
        <v>482</v>
      </c>
      <c r="H18" s="28" t="s">
        <v>113</v>
      </c>
      <c r="I18" s="28" t="s">
        <v>237</v>
      </c>
      <c r="J18" s="28" t="s">
        <v>238</v>
      </c>
      <c r="K18" s="28" t="s">
        <v>239</v>
      </c>
      <c r="L18" s="28" t="s">
        <v>125</v>
      </c>
      <c r="M18" s="26">
        <v>3980</v>
      </c>
      <c r="N18" s="26">
        <v>0</v>
      </c>
      <c r="O18" s="26">
        <v>0</v>
      </c>
      <c r="P18" s="26">
        <v>14714.06</v>
      </c>
      <c r="Q18" s="26">
        <v>0</v>
      </c>
      <c r="R18" s="26">
        <v>0</v>
      </c>
      <c r="S18" s="26">
        <v>0</v>
      </c>
      <c r="T18" s="26">
        <v>14714.06</v>
      </c>
      <c r="U18" s="28" t="s">
        <v>115</v>
      </c>
      <c r="V18" s="26"/>
      <c r="W18" s="26">
        <v>0</v>
      </c>
      <c r="X18" s="26">
        <v>0</v>
      </c>
      <c r="Y18" s="26">
        <v>3.6970000000000001</v>
      </c>
      <c r="Z18" s="28" t="s">
        <v>116</v>
      </c>
      <c r="AA18" s="28" t="s">
        <v>117</v>
      </c>
      <c r="AB18" s="26"/>
      <c r="AC18" s="28" t="s">
        <v>118</v>
      </c>
      <c r="AD18" s="28" t="s">
        <v>250</v>
      </c>
      <c r="AE18" s="28" t="s">
        <v>250</v>
      </c>
    </row>
    <row r="19" spans="1:31">
      <c r="A19" s="27">
        <v>45798</v>
      </c>
      <c r="B19" s="27">
        <v>45798</v>
      </c>
      <c r="C19" s="27">
        <v>45798</v>
      </c>
      <c r="D19" s="28" t="s">
        <v>483</v>
      </c>
      <c r="E19" s="28" t="s">
        <v>111</v>
      </c>
      <c r="F19" s="28" t="s">
        <v>124</v>
      </c>
      <c r="G19" s="28" t="s">
        <v>484</v>
      </c>
      <c r="H19" s="28" t="s">
        <v>113</v>
      </c>
      <c r="I19" s="28" t="s">
        <v>237</v>
      </c>
      <c r="J19" s="28" t="s">
        <v>238</v>
      </c>
      <c r="K19" s="28" t="s">
        <v>239</v>
      </c>
      <c r="L19" s="28" t="s">
        <v>125</v>
      </c>
      <c r="M19" s="26">
        <v>1038.4000000000001</v>
      </c>
      <c r="N19" s="26">
        <v>3253.36</v>
      </c>
      <c r="O19" s="26">
        <v>0</v>
      </c>
      <c r="P19" s="26">
        <v>0</v>
      </c>
      <c r="Q19" s="26">
        <v>0</v>
      </c>
      <c r="R19" s="26">
        <v>585.6</v>
      </c>
      <c r="S19" s="26">
        <v>0</v>
      </c>
      <c r="T19" s="26">
        <v>3838.96</v>
      </c>
      <c r="U19" s="28" t="s">
        <v>115</v>
      </c>
      <c r="V19" s="26"/>
      <c r="W19" s="26">
        <v>0</v>
      </c>
      <c r="X19" s="26">
        <v>0</v>
      </c>
      <c r="Y19" s="26">
        <v>3.6970000000000001</v>
      </c>
      <c r="Z19" s="28" t="s">
        <v>116</v>
      </c>
      <c r="AA19" s="28" t="s">
        <v>117</v>
      </c>
      <c r="AB19" s="26"/>
      <c r="AC19" s="28" t="s">
        <v>118</v>
      </c>
      <c r="AD19" s="28" t="s">
        <v>250</v>
      </c>
      <c r="AE19" s="28" t="s">
        <v>250</v>
      </c>
    </row>
    <row r="20" spans="1:31">
      <c r="A20" s="27">
        <v>45799</v>
      </c>
      <c r="B20" s="27">
        <v>45799</v>
      </c>
      <c r="C20" s="27">
        <v>45799</v>
      </c>
      <c r="D20" s="28" t="s">
        <v>249</v>
      </c>
      <c r="E20" s="28" t="s">
        <v>111</v>
      </c>
      <c r="F20" s="28" t="s">
        <v>124</v>
      </c>
      <c r="G20" s="28" t="s">
        <v>320</v>
      </c>
      <c r="H20" s="28" t="s">
        <v>113</v>
      </c>
      <c r="I20" s="28" t="s">
        <v>237</v>
      </c>
      <c r="J20" s="28" t="s">
        <v>238</v>
      </c>
      <c r="K20" s="28" t="s">
        <v>239</v>
      </c>
      <c r="L20" s="28" t="s">
        <v>125</v>
      </c>
      <c r="M20" s="26">
        <v>424.59</v>
      </c>
      <c r="N20" s="26">
        <v>1325.22</v>
      </c>
      <c r="O20" s="26">
        <v>0</v>
      </c>
      <c r="P20" s="26">
        <v>0</v>
      </c>
      <c r="Q20" s="26">
        <v>0</v>
      </c>
      <c r="R20" s="26">
        <v>238.55</v>
      </c>
      <c r="S20" s="26">
        <v>0</v>
      </c>
      <c r="T20" s="26">
        <v>1563.77</v>
      </c>
      <c r="U20" s="28" t="s">
        <v>115</v>
      </c>
      <c r="V20" s="26"/>
      <c r="W20" s="26">
        <v>0</v>
      </c>
      <c r="X20" s="26">
        <v>0</v>
      </c>
      <c r="Y20" s="26">
        <v>3.6829999999999998</v>
      </c>
      <c r="Z20" s="28" t="s">
        <v>116</v>
      </c>
      <c r="AA20" s="28" t="s">
        <v>117</v>
      </c>
      <c r="AB20" s="26"/>
      <c r="AC20" s="28" t="s">
        <v>118</v>
      </c>
      <c r="AD20" s="28" t="s">
        <v>252</v>
      </c>
      <c r="AE20" s="28" t="s">
        <v>252</v>
      </c>
    </row>
    <row r="21" spans="1:31">
      <c r="A21" s="27">
        <v>45800</v>
      </c>
      <c r="B21" s="27">
        <v>45815</v>
      </c>
      <c r="C21" s="27">
        <v>45800</v>
      </c>
      <c r="D21" s="28" t="s">
        <v>251</v>
      </c>
      <c r="E21" s="28" t="s">
        <v>111</v>
      </c>
      <c r="F21" s="28" t="s">
        <v>112</v>
      </c>
      <c r="G21" s="28" t="s">
        <v>321</v>
      </c>
      <c r="H21" s="28" t="s">
        <v>113</v>
      </c>
      <c r="I21" s="28" t="s">
        <v>242</v>
      </c>
      <c r="J21" s="28" t="s">
        <v>243</v>
      </c>
      <c r="K21" s="28" t="s">
        <v>244</v>
      </c>
      <c r="L21" s="28" t="s">
        <v>114</v>
      </c>
      <c r="M21" s="26">
        <v>1132.8</v>
      </c>
      <c r="N21" s="26">
        <v>960</v>
      </c>
      <c r="O21" s="26">
        <v>0</v>
      </c>
      <c r="P21" s="26">
        <v>0</v>
      </c>
      <c r="Q21" s="26">
        <v>0</v>
      </c>
      <c r="R21" s="26">
        <v>172.8</v>
      </c>
      <c r="S21" s="26">
        <v>0</v>
      </c>
      <c r="T21" s="26">
        <v>1132.8</v>
      </c>
      <c r="U21" s="28" t="s">
        <v>485</v>
      </c>
      <c r="V21" s="27">
        <v>45814</v>
      </c>
      <c r="W21" s="26">
        <v>0</v>
      </c>
      <c r="X21" s="26">
        <v>0</v>
      </c>
      <c r="Y21" s="26">
        <v>3.669</v>
      </c>
      <c r="Z21" s="28" t="s">
        <v>116</v>
      </c>
      <c r="AA21" s="28" t="s">
        <v>117</v>
      </c>
      <c r="AB21" s="26"/>
      <c r="AC21" s="28" t="s">
        <v>118</v>
      </c>
      <c r="AD21" s="28" t="s">
        <v>322</v>
      </c>
      <c r="AE21" s="28" t="s">
        <v>322</v>
      </c>
    </row>
    <row r="22" spans="1:31">
      <c r="A22" s="27">
        <v>45800</v>
      </c>
      <c r="B22" s="27">
        <v>45815</v>
      </c>
      <c r="C22" s="27">
        <v>45800</v>
      </c>
      <c r="D22" s="28" t="s">
        <v>236</v>
      </c>
      <c r="E22" s="28" t="s">
        <v>111</v>
      </c>
      <c r="F22" s="28" t="s">
        <v>124</v>
      </c>
      <c r="G22" s="28" t="s">
        <v>323</v>
      </c>
      <c r="H22" s="28" t="s">
        <v>113</v>
      </c>
      <c r="I22" s="28" t="s">
        <v>246</v>
      </c>
      <c r="J22" s="28" t="s">
        <v>247</v>
      </c>
      <c r="K22" s="28" t="s">
        <v>248</v>
      </c>
      <c r="L22" s="28" t="s">
        <v>114</v>
      </c>
      <c r="M22" s="26">
        <v>1970.6</v>
      </c>
      <c r="N22" s="26">
        <v>1670</v>
      </c>
      <c r="O22" s="26">
        <v>0</v>
      </c>
      <c r="P22" s="26">
        <v>0</v>
      </c>
      <c r="Q22" s="26">
        <v>0</v>
      </c>
      <c r="R22" s="26">
        <v>300.60000000000002</v>
      </c>
      <c r="S22" s="26">
        <v>0</v>
      </c>
      <c r="T22" s="26">
        <v>1970.6</v>
      </c>
      <c r="U22" s="28" t="s">
        <v>486</v>
      </c>
      <c r="V22" s="27">
        <v>45814</v>
      </c>
      <c r="W22" s="26">
        <v>0</v>
      </c>
      <c r="X22" s="26">
        <v>0</v>
      </c>
      <c r="Y22" s="26">
        <v>3.669</v>
      </c>
      <c r="Z22" s="28" t="s">
        <v>116</v>
      </c>
      <c r="AA22" s="28" t="s">
        <v>117</v>
      </c>
      <c r="AB22" s="26"/>
      <c r="AC22" s="28" t="s">
        <v>118</v>
      </c>
      <c r="AD22" s="28" t="s">
        <v>322</v>
      </c>
      <c r="AE22" s="28" t="s">
        <v>322</v>
      </c>
    </row>
    <row r="23" spans="1:31">
      <c r="A23" s="27">
        <v>45800</v>
      </c>
      <c r="B23" s="27">
        <v>45830</v>
      </c>
      <c r="C23" s="27">
        <v>45800</v>
      </c>
      <c r="D23" s="28" t="s">
        <v>214</v>
      </c>
      <c r="E23" s="28" t="s">
        <v>111</v>
      </c>
      <c r="F23" s="28" t="s">
        <v>112</v>
      </c>
      <c r="G23" s="28" t="s">
        <v>324</v>
      </c>
      <c r="H23" s="28" t="s">
        <v>113</v>
      </c>
      <c r="I23" s="28" t="s">
        <v>292</v>
      </c>
      <c r="J23" s="28" t="s">
        <v>293</v>
      </c>
      <c r="K23" s="28" t="s">
        <v>294</v>
      </c>
      <c r="L23" s="28" t="s">
        <v>114</v>
      </c>
      <c r="M23" s="26">
        <v>1975.75</v>
      </c>
      <c r="N23" s="26">
        <v>1674.36</v>
      </c>
      <c r="O23" s="26">
        <v>0</v>
      </c>
      <c r="P23" s="26">
        <v>0</v>
      </c>
      <c r="Q23" s="26">
        <v>0</v>
      </c>
      <c r="R23" s="26">
        <v>301.39</v>
      </c>
      <c r="S23" s="26">
        <v>0</v>
      </c>
      <c r="T23" s="26">
        <v>1975.75</v>
      </c>
      <c r="U23" s="28" t="s">
        <v>115</v>
      </c>
      <c r="V23" s="26"/>
      <c r="W23" s="26">
        <v>0</v>
      </c>
      <c r="X23" s="26">
        <v>0</v>
      </c>
      <c r="Y23" s="26">
        <v>3.669</v>
      </c>
      <c r="Z23" s="28" t="s">
        <v>116</v>
      </c>
      <c r="AA23" s="28" t="s">
        <v>117</v>
      </c>
      <c r="AB23" s="26"/>
      <c r="AC23" s="28" t="s">
        <v>118</v>
      </c>
      <c r="AD23" s="28" t="s">
        <v>322</v>
      </c>
      <c r="AE23" s="28" t="s">
        <v>322</v>
      </c>
    </row>
    <row r="24" spans="1:31">
      <c r="A24" s="27">
        <v>45806</v>
      </c>
      <c r="B24" s="27">
        <v>45806</v>
      </c>
      <c r="C24" s="27">
        <v>45806</v>
      </c>
      <c r="D24" s="28" t="s">
        <v>487</v>
      </c>
      <c r="E24" s="28" t="s">
        <v>111</v>
      </c>
      <c r="F24" s="28" t="s">
        <v>203</v>
      </c>
      <c r="G24" s="28" t="s">
        <v>488</v>
      </c>
      <c r="H24" s="28" t="s">
        <v>113</v>
      </c>
      <c r="I24" s="28" t="s">
        <v>205</v>
      </c>
      <c r="J24" s="28" t="s">
        <v>204</v>
      </c>
      <c r="K24" s="28" t="s">
        <v>206</v>
      </c>
      <c r="L24" s="28" t="s">
        <v>125</v>
      </c>
      <c r="M24" s="26">
        <v>185.15</v>
      </c>
      <c r="N24" s="26">
        <v>572.41</v>
      </c>
      <c r="O24" s="26">
        <v>0</v>
      </c>
      <c r="P24" s="26">
        <v>0</v>
      </c>
      <c r="Q24" s="26">
        <v>0</v>
      </c>
      <c r="R24" s="26">
        <v>103.02</v>
      </c>
      <c r="S24" s="26">
        <v>0</v>
      </c>
      <c r="T24" s="26">
        <v>675.43</v>
      </c>
      <c r="U24" s="28" t="s">
        <v>115</v>
      </c>
      <c r="V24" s="26"/>
      <c r="W24" s="26">
        <v>0</v>
      </c>
      <c r="X24" s="26">
        <v>0</v>
      </c>
      <c r="Y24" s="26">
        <v>3.6480000000000001</v>
      </c>
      <c r="Z24" s="28" t="s">
        <v>116</v>
      </c>
      <c r="AA24" s="28" t="s">
        <v>117</v>
      </c>
      <c r="AB24" s="26"/>
      <c r="AC24" s="28" t="s">
        <v>118</v>
      </c>
      <c r="AD24" s="28" t="s">
        <v>489</v>
      </c>
      <c r="AE24" s="28" t="s">
        <v>489</v>
      </c>
    </row>
    <row r="25" spans="1:31">
      <c r="A25" s="27">
        <v>45806</v>
      </c>
      <c r="B25" s="27">
        <v>45806</v>
      </c>
      <c r="C25" s="27">
        <v>45806</v>
      </c>
      <c r="D25" s="28" t="s">
        <v>490</v>
      </c>
      <c r="E25" s="28" t="s">
        <v>111</v>
      </c>
      <c r="F25" s="28" t="s">
        <v>203</v>
      </c>
      <c r="G25" s="28" t="s">
        <v>491</v>
      </c>
      <c r="H25" s="28" t="s">
        <v>113</v>
      </c>
      <c r="I25" s="28" t="s">
        <v>205</v>
      </c>
      <c r="J25" s="28" t="s">
        <v>204</v>
      </c>
      <c r="K25" s="28" t="s">
        <v>206</v>
      </c>
      <c r="L25" s="28" t="s">
        <v>125</v>
      </c>
      <c r="M25" s="26">
        <v>450.17</v>
      </c>
      <c r="N25" s="26">
        <v>1391.71</v>
      </c>
      <c r="O25" s="26">
        <v>0</v>
      </c>
      <c r="P25" s="26">
        <v>0</v>
      </c>
      <c r="Q25" s="26">
        <v>0</v>
      </c>
      <c r="R25" s="26">
        <v>250.51</v>
      </c>
      <c r="S25" s="26">
        <v>0</v>
      </c>
      <c r="T25" s="26">
        <v>1642.22</v>
      </c>
      <c r="U25" s="28" t="s">
        <v>492</v>
      </c>
      <c r="V25" s="27">
        <v>45813</v>
      </c>
      <c r="W25" s="26">
        <v>0</v>
      </c>
      <c r="X25" s="26">
        <v>0</v>
      </c>
      <c r="Y25" s="26">
        <v>3.6480000000000001</v>
      </c>
      <c r="Z25" s="28" t="s">
        <v>116</v>
      </c>
      <c r="AA25" s="28" t="s">
        <v>117</v>
      </c>
      <c r="AB25" s="26"/>
      <c r="AC25" s="28" t="s">
        <v>118</v>
      </c>
      <c r="AD25" s="28" t="s">
        <v>489</v>
      </c>
      <c r="AE25" s="28" t="s">
        <v>489</v>
      </c>
    </row>
    <row r="26" spans="1:31">
      <c r="A26" s="27">
        <v>45807</v>
      </c>
      <c r="B26" s="27">
        <v>45807</v>
      </c>
      <c r="C26" s="27">
        <v>45807</v>
      </c>
      <c r="D26" s="28" t="s">
        <v>493</v>
      </c>
      <c r="E26" s="28" t="s">
        <v>111</v>
      </c>
      <c r="F26" s="28" t="s">
        <v>124</v>
      </c>
      <c r="G26" s="28" t="s">
        <v>494</v>
      </c>
      <c r="H26" s="28" t="s">
        <v>113</v>
      </c>
      <c r="I26" s="28" t="s">
        <v>237</v>
      </c>
      <c r="J26" s="28" t="s">
        <v>238</v>
      </c>
      <c r="K26" s="28" t="s">
        <v>239</v>
      </c>
      <c r="L26" s="28" t="s">
        <v>125</v>
      </c>
      <c r="M26" s="26">
        <v>277.58</v>
      </c>
      <c r="N26" s="26">
        <v>855.8</v>
      </c>
      <c r="O26" s="26">
        <v>0</v>
      </c>
      <c r="P26" s="26">
        <v>0</v>
      </c>
      <c r="Q26" s="26">
        <v>0</v>
      </c>
      <c r="R26" s="26">
        <v>154.03</v>
      </c>
      <c r="S26" s="26">
        <v>0</v>
      </c>
      <c r="T26" s="26">
        <v>1009.83</v>
      </c>
      <c r="U26" s="28" t="s">
        <v>115</v>
      </c>
      <c r="V26" s="26"/>
      <c r="W26" s="26">
        <v>0</v>
      </c>
      <c r="X26" s="26">
        <v>0</v>
      </c>
      <c r="Y26" s="26">
        <v>3.6379999999999999</v>
      </c>
      <c r="Z26" s="28" t="s">
        <v>116</v>
      </c>
      <c r="AA26" s="28" t="s">
        <v>117</v>
      </c>
      <c r="AB26" s="26"/>
      <c r="AC26" s="28" t="s">
        <v>118</v>
      </c>
      <c r="AD26" s="28" t="s">
        <v>495</v>
      </c>
      <c r="AE26" s="28" t="s">
        <v>495</v>
      </c>
    </row>
    <row r="27" spans="1:31">
      <c r="A27" s="27">
        <v>45807</v>
      </c>
      <c r="B27" s="27">
        <v>45807</v>
      </c>
      <c r="C27" s="27">
        <v>45807</v>
      </c>
      <c r="D27" s="28" t="s">
        <v>496</v>
      </c>
      <c r="E27" s="28" t="s">
        <v>111</v>
      </c>
      <c r="F27" s="28" t="s">
        <v>497</v>
      </c>
      <c r="G27" s="28" t="s">
        <v>498</v>
      </c>
      <c r="H27" s="28" t="s">
        <v>113</v>
      </c>
      <c r="I27" s="28" t="s">
        <v>499</v>
      </c>
      <c r="J27" s="28" t="s">
        <v>500</v>
      </c>
      <c r="K27" s="28" t="s">
        <v>501</v>
      </c>
      <c r="L27" s="28" t="s">
        <v>114</v>
      </c>
      <c r="M27" s="26">
        <v>1500</v>
      </c>
      <c r="N27" s="26">
        <v>1271.18</v>
      </c>
      <c r="O27" s="26">
        <v>0</v>
      </c>
      <c r="P27" s="26">
        <v>0</v>
      </c>
      <c r="Q27" s="26">
        <v>0</v>
      </c>
      <c r="R27" s="26">
        <v>228.82</v>
      </c>
      <c r="S27" s="26">
        <v>0</v>
      </c>
      <c r="T27" s="26">
        <v>1500</v>
      </c>
      <c r="U27" s="28" t="s">
        <v>115</v>
      </c>
      <c r="V27" s="26"/>
      <c r="W27" s="26">
        <v>0</v>
      </c>
      <c r="X27" s="26">
        <v>0</v>
      </c>
      <c r="Y27" s="26">
        <v>3.6379999999999999</v>
      </c>
      <c r="Z27" s="28" t="s">
        <v>116</v>
      </c>
      <c r="AA27" s="28" t="s">
        <v>117</v>
      </c>
      <c r="AB27" s="26"/>
      <c r="AC27" s="28" t="s">
        <v>118</v>
      </c>
      <c r="AD27" s="28" t="s">
        <v>495</v>
      </c>
      <c r="AE27" s="28" t="s">
        <v>495</v>
      </c>
    </row>
    <row r="28" spans="1:31">
      <c r="A28" s="27">
        <v>45807</v>
      </c>
      <c r="B28" s="27">
        <v>45822</v>
      </c>
      <c r="C28" s="27">
        <v>45807</v>
      </c>
      <c r="D28" s="28" t="s">
        <v>502</v>
      </c>
      <c r="E28" s="28" t="s">
        <v>111</v>
      </c>
      <c r="F28" s="28" t="s">
        <v>112</v>
      </c>
      <c r="G28" s="28" t="s">
        <v>503</v>
      </c>
      <c r="H28" s="28" t="s">
        <v>113</v>
      </c>
      <c r="I28" s="28" t="s">
        <v>242</v>
      </c>
      <c r="J28" s="28" t="s">
        <v>243</v>
      </c>
      <c r="K28" s="28" t="s">
        <v>244</v>
      </c>
      <c r="L28" s="28" t="s">
        <v>114</v>
      </c>
      <c r="M28" s="26">
        <v>566.4</v>
      </c>
      <c r="N28" s="26">
        <v>480</v>
      </c>
      <c r="O28" s="26">
        <v>0</v>
      </c>
      <c r="P28" s="26">
        <v>0</v>
      </c>
      <c r="Q28" s="26">
        <v>0</v>
      </c>
      <c r="R28" s="26">
        <v>86.4</v>
      </c>
      <c r="S28" s="26">
        <v>0</v>
      </c>
      <c r="T28" s="26">
        <v>566.4</v>
      </c>
      <c r="U28" s="28" t="s">
        <v>115</v>
      </c>
      <c r="V28" s="26"/>
      <c r="W28" s="26">
        <v>0</v>
      </c>
      <c r="X28" s="26">
        <v>0</v>
      </c>
      <c r="Y28" s="26">
        <v>3.6379999999999999</v>
      </c>
      <c r="Z28" s="28" t="s">
        <v>116</v>
      </c>
      <c r="AA28" s="28" t="s">
        <v>117</v>
      </c>
      <c r="AB28" s="26"/>
      <c r="AC28" s="28" t="s">
        <v>118</v>
      </c>
      <c r="AD28" s="28" t="s">
        <v>495</v>
      </c>
      <c r="AE28" s="28" t="s">
        <v>495</v>
      </c>
    </row>
    <row r="29" spans="1:31">
      <c r="A29" s="27">
        <v>45759</v>
      </c>
      <c r="B29" s="27">
        <v>45779</v>
      </c>
      <c r="C29" s="27">
        <v>45779</v>
      </c>
      <c r="D29" s="28" t="s">
        <v>504</v>
      </c>
      <c r="E29" s="28" t="s">
        <v>505</v>
      </c>
      <c r="F29" s="28" t="s">
        <v>506</v>
      </c>
      <c r="G29" s="28" t="s">
        <v>507</v>
      </c>
      <c r="H29" s="28" t="s">
        <v>113</v>
      </c>
      <c r="I29" s="28" t="s">
        <v>508</v>
      </c>
      <c r="J29" s="28" t="s">
        <v>509</v>
      </c>
      <c r="K29" s="28" t="s">
        <v>510</v>
      </c>
      <c r="L29" s="28" t="s">
        <v>114</v>
      </c>
      <c r="M29" s="26">
        <v>2676.24</v>
      </c>
      <c r="N29" s="26">
        <v>2268</v>
      </c>
      <c r="O29" s="26">
        <v>0</v>
      </c>
      <c r="P29" s="26">
        <v>0</v>
      </c>
      <c r="Q29" s="26">
        <v>0</v>
      </c>
      <c r="R29" s="26">
        <v>408.24</v>
      </c>
      <c r="S29" s="26">
        <v>0</v>
      </c>
      <c r="T29" s="26">
        <v>2676.24</v>
      </c>
      <c r="U29" s="28" t="s">
        <v>115</v>
      </c>
      <c r="V29" s="26"/>
      <c r="W29" s="26">
        <v>0</v>
      </c>
      <c r="X29" s="26">
        <v>0</v>
      </c>
      <c r="Y29" s="26">
        <v>3.6779999999999999</v>
      </c>
      <c r="Z29" s="28" t="s">
        <v>116</v>
      </c>
      <c r="AA29" s="28" t="s">
        <v>117</v>
      </c>
      <c r="AB29" s="26"/>
      <c r="AC29" s="28" t="s">
        <v>118</v>
      </c>
      <c r="AD29" s="28" t="s">
        <v>511</v>
      </c>
      <c r="AE29" s="28" t="s">
        <v>216</v>
      </c>
    </row>
    <row r="30" spans="1:31">
      <c r="A30" s="27">
        <v>45762</v>
      </c>
      <c r="B30" s="27">
        <v>45780</v>
      </c>
      <c r="C30" s="27">
        <v>45779</v>
      </c>
      <c r="D30" s="28" t="s">
        <v>512</v>
      </c>
      <c r="E30" s="28" t="s">
        <v>505</v>
      </c>
      <c r="F30" s="28" t="s">
        <v>513</v>
      </c>
      <c r="G30" s="28" t="s">
        <v>514</v>
      </c>
      <c r="H30" s="28" t="s">
        <v>113</v>
      </c>
      <c r="I30" s="28" t="s">
        <v>515</v>
      </c>
      <c r="J30" s="28" t="s">
        <v>516</v>
      </c>
      <c r="K30" s="28" t="s">
        <v>517</v>
      </c>
      <c r="L30" s="28" t="s">
        <v>114</v>
      </c>
      <c r="M30" s="26">
        <v>236.6</v>
      </c>
      <c r="N30" s="26">
        <v>200.44</v>
      </c>
      <c r="O30" s="26">
        <v>0</v>
      </c>
      <c r="P30" s="26">
        <v>0.09</v>
      </c>
      <c r="Q30" s="26">
        <v>0</v>
      </c>
      <c r="R30" s="26">
        <v>36.07</v>
      </c>
      <c r="S30" s="26">
        <v>0</v>
      </c>
      <c r="T30" s="26">
        <v>236.6</v>
      </c>
      <c r="U30" s="28" t="s">
        <v>115</v>
      </c>
      <c r="V30" s="26"/>
      <c r="W30" s="26">
        <v>0</v>
      </c>
      <c r="X30" s="26">
        <v>0</v>
      </c>
      <c r="Y30" s="26">
        <v>3.665</v>
      </c>
      <c r="Z30" s="28" t="s">
        <v>116</v>
      </c>
      <c r="AA30" s="28" t="s">
        <v>117</v>
      </c>
      <c r="AB30" s="26"/>
      <c r="AC30" s="28" t="s">
        <v>118</v>
      </c>
      <c r="AD30" s="28" t="s">
        <v>518</v>
      </c>
      <c r="AE30" s="28" t="s">
        <v>216</v>
      </c>
    </row>
    <row r="31" spans="1:31">
      <c r="A31" s="27">
        <v>45766</v>
      </c>
      <c r="B31" s="27">
        <v>45783</v>
      </c>
      <c r="C31" s="27">
        <v>45779</v>
      </c>
      <c r="D31" s="28" t="s">
        <v>519</v>
      </c>
      <c r="E31" s="28" t="s">
        <v>505</v>
      </c>
      <c r="F31" s="28" t="s">
        <v>513</v>
      </c>
      <c r="G31" s="28" t="s">
        <v>520</v>
      </c>
      <c r="H31" s="28" t="s">
        <v>113</v>
      </c>
      <c r="I31" s="28" t="s">
        <v>515</v>
      </c>
      <c r="J31" s="28" t="s">
        <v>516</v>
      </c>
      <c r="K31" s="28" t="s">
        <v>517</v>
      </c>
      <c r="L31" s="28" t="s">
        <v>114</v>
      </c>
      <c r="M31" s="26">
        <v>58.4</v>
      </c>
      <c r="N31" s="26">
        <v>49.46</v>
      </c>
      <c r="O31" s="26">
        <v>0</v>
      </c>
      <c r="P31" s="26">
        <v>0.04</v>
      </c>
      <c r="Q31" s="26">
        <v>0</v>
      </c>
      <c r="R31" s="26">
        <v>8.9</v>
      </c>
      <c r="S31" s="26">
        <v>0</v>
      </c>
      <c r="T31" s="26">
        <v>58.4</v>
      </c>
      <c r="U31" s="28" t="s">
        <v>115</v>
      </c>
      <c r="V31" s="26"/>
      <c r="W31" s="26">
        <v>0</v>
      </c>
      <c r="X31" s="26">
        <v>0</v>
      </c>
      <c r="Y31" s="26">
        <v>3.6619999999999999</v>
      </c>
      <c r="Z31" s="28" t="s">
        <v>116</v>
      </c>
      <c r="AA31" s="28" t="s">
        <v>117</v>
      </c>
      <c r="AB31" s="26"/>
      <c r="AC31" s="28" t="s">
        <v>118</v>
      </c>
      <c r="AD31" s="28" t="s">
        <v>521</v>
      </c>
      <c r="AE31" s="28" t="s">
        <v>216</v>
      </c>
    </row>
    <row r="32" spans="1:31">
      <c r="A32" s="27">
        <v>45771</v>
      </c>
      <c r="B32" s="27">
        <v>45779</v>
      </c>
      <c r="C32" s="27">
        <v>45779</v>
      </c>
      <c r="D32" s="28" t="s">
        <v>522</v>
      </c>
      <c r="E32" s="28" t="s">
        <v>505</v>
      </c>
      <c r="F32" s="28" t="s">
        <v>523</v>
      </c>
      <c r="G32" s="28" t="s">
        <v>524</v>
      </c>
      <c r="H32" s="28" t="s">
        <v>113</v>
      </c>
      <c r="I32" s="28" t="s">
        <v>525</v>
      </c>
      <c r="J32" s="28" t="s">
        <v>526</v>
      </c>
      <c r="K32" s="28" t="s">
        <v>527</v>
      </c>
      <c r="L32" s="28" t="s">
        <v>114</v>
      </c>
      <c r="M32" s="26">
        <v>114.5</v>
      </c>
      <c r="N32" s="26">
        <v>95.89</v>
      </c>
      <c r="O32" s="26">
        <v>0</v>
      </c>
      <c r="P32" s="26">
        <v>1.35</v>
      </c>
      <c r="Q32" s="26">
        <v>0</v>
      </c>
      <c r="R32" s="26">
        <v>17.260000000000002</v>
      </c>
      <c r="S32" s="26">
        <v>0</v>
      </c>
      <c r="T32" s="26">
        <v>114.5</v>
      </c>
      <c r="U32" s="28" t="s">
        <v>115</v>
      </c>
      <c r="V32" s="26"/>
      <c r="W32" s="26">
        <v>0</v>
      </c>
      <c r="X32" s="26">
        <v>0</v>
      </c>
      <c r="Y32" s="26">
        <v>3.6779999999999999</v>
      </c>
      <c r="Z32" s="28" t="s">
        <v>116</v>
      </c>
      <c r="AA32" s="28" t="s">
        <v>117</v>
      </c>
      <c r="AB32" s="26"/>
      <c r="AC32" s="28" t="s">
        <v>118</v>
      </c>
      <c r="AD32" s="28" t="s">
        <v>528</v>
      </c>
      <c r="AE32" s="28" t="s">
        <v>216</v>
      </c>
    </row>
    <row r="33" spans="1:31">
      <c r="A33" s="27">
        <v>45771</v>
      </c>
      <c r="B33" s="27">
        <v>45786</v>
      </c>
      <c r="C33" s="27">
        <v>45779</v>
      </c>
      <c r="D33" s="28" t="s">
        <v>529</v>
      </c>
      <c r="E33" s="28" t="s">
        <v>505</v>
      </c>
      <c r="F33" s="28" t="s">
        <v>523</v>
      </c>
      <c r="G33" s="28" t="s">
        <v>530</v>
      </c>
      <c r="H33" s="28" t="s">
        <v>113</v>
      </c>
      <c r="I33" s="28" t="s">
        <v>525</v>
      </c>
      <c r="J33" s="28" t="s">
        <v>526</v>
      </c>
      <c r="K33" s="28" t="s">
        <v>527</v>
      </c>
      <c r="L33" s="28" t="s">
        <v>114</v>
      </c>
      <c r="M33" s="26">
        <v>195</v>
      </c>
      <c r="N33" s="26">
        <v>163.16</v>
      </c>
      <c r="O33" s="26">
        <v>0</v>
      </c>
      <c r="P33" s="26">
        <v>2.46</v>
      </c>
      <c r="Q33" s="26">
        <v>0</v>
      </c>
      <c r="R33" s="26">
        <v>29.38</v>
      </c>
      <c r="S33" s="26">
        <v>0</v>
      </c>
      <c r="T33" s="26">
        <v>195</v>
      </c>
      <c r="U33" s="28" t="s">
        <v>115</v>
      </c>
      <c r="V33" s="26"/>
      <c r="W33" s="26">
        <v>0</v>
      </c>
      <c r="X33" s="26">
        <v>0</v>
      </c>
      <c r="Y33" s="26">
        <v>3.6459999999999999</v>
      </c>
      <c r="Z33" s="28" t="s">
        <v>116</v>
      </c>
      <c r="AA33" s="28" t="s">
        <v>117</v>
      </c>
      <c r="AB33" s="26"/>
      <c r="AC33" s="28" t="s">
        <v>118</v>
      </c>
      <c r="AD33" s="28" t="s">
        <v>528</v>
      </c>
      <c r="AE33" s="28" t="s">
        <v>216</v>
      </c>
    </row>
    <row r="34" spans="1:31">
      <c r="A34" s="27">
        <v>45776</v>
      </c>
      <c r="B34" s="27">
        <v>45776</v>
      </c>
      <c r="C34" s="27">
        <v>45778</v>
      </c>
      <c r="D34" s="28" t="s">
        <v>257</v>
      </c>
      <c r="E34" s="28" t="s">
        <v>111</v>
      </c>
      <c r="F34" s="28" t="s">
        <v>77</v>
      </c>
      <c r="G34" s="28" t="s">
        <v>325</v>
      </c>
      <c r="H34" s="28" t="s">
        <v>113</v>
      </c>
      <c r="I34" s="28" t="s">
        <v>253</v>
      </c>
      <c r="J34" s="28" t="s">
        <v>254</v>
      </c>
      <c r="K34" s="28" t="s">
        <v>255</v>
      </c>
      <c r="L34" s="28" t="s">
        <v>114</v>
      </c>
      <c r="M34" s="26">
        <v>1327.5</v>
      </c>
      <c r="N34" s="26">
        <v>1125</v>
      </c>
      <c r="O34" s="26">
        <v>0</v>
      </c>
      <c r="P34" s="26">
        <v>0</v>
      </c>
      <c r="Q34" s="26">
        <v>0</v>
      </c>
      <c r="R34" s="26">
        <v>202.5</v>
      </c>
      <c r="S34" s="26">
        <v>0</v>
      </c>
      <c r="T34" s="26">
        <v>1327.5</v>
      </c>
      <c r="U34" s="28" t="s">
        <v>326</v>
      </c>
      <c r="V34" s="27">
        <v>45800</v>
      </c>
      <c r="W34" s="26">
        <v>0</v>
      </c>
      <c r="X34" s="26">
        <v>0</v>
      </c>
      <c r="Y34" s="26">
        <v>3.6720000000000002</v>
      </c>
      <c r="Z34" s="28" t="s">
        <v>116</v>
      </c>
      <c r="AA34" s="28" t="s">
        <v>117</v>
      </c>
      <c r="AB34" s="26"/>
      <c r="AC34" s="28" t="s">
        <v>118</v>
      </c>
      <c r="AD34" s="28" t="s">
        <v>256</v>
      </c>
      <c r="AE34" s="28" t="s">
        <v>215</v>
      </c>
    </row>
    <row r="35" spans="1:31">
      <c r="A35" s="27">
        <v>45777</v>
      </c>
      <c r="B35" s="27">
        <v>45779</v>
      </c>
      <c r="C35" s="27">
        <v>45779</v>
      </c>
      <c r="D35" s="28" t="s">
        <v>531</v>
      </c>
      <c r="E35" s="28" t="s">
        <v>505</v>
      </c>
      <c r="F35" s="28" t="s">
        <v>506</v>
      </c>
      <c r="G35" s="28" t="s">
        <v>532</v>
      </c>
      <c r="H35" s="28" t="s">
        <v>113</v>
      </c>
      <c r="I35" s="28" t="s">
        <v>533</v>
      </c>
      <c r="J35" s="28" t="s">
        <v>534</v>
      </c>
      <c r="K35" s="28" t="s">
        <v>535</v>
      </c>
      <c r="L35" s="28" t="s">
        <v>114</v>
      </c>
      <c r="M35" s="26">
        <v>766.04</v>
      </c>
      <c r="N35" s="26">
        <v>649.17999999999995</v>
      </c>
      <c r="O35" s="26">
        <v>0</v>
      </c>
      <c r="P35" s="26">
        <v>0.01</v>
      </c>
      <c r="Q35" s="26">
        <v>0</v>
      </c>
      <c r="R35" s="26">
        <v>116.85</v>
      </c>
      <c r="S35" s="26">
        <v>0</v>
      </c>
      <c r="T35" s="26">
        <v>766.04</v>
      </c>
      <c r="U35" s="28" t="s">
        <v>115</v>
      </c>
      <c r="V35" s="26"/>
      <c r="W35" s="26">
        <v>0</v>
      </c>
      <c r="X35" s="26">
        <v>0</v>
      </c>
      <c r="Y35" s="26">
        <v>3.6779999999999999</v>
      </c>
      <c r="Z35" s="28" t="s">
        <v>116</v>
      </c>
      <c r="AA35" s="28" t="s">
        <v>117</v>
      </c>
      <c r="AB35" s="26"/>
      <c r="AC35" s="28" t="s">
        <v>118</v>
      </c>
      <c r="AD35" s="28" t="s">
        <v>536</v>
      </c>
      <c r="AE35" s="28" t="s">
        <v>216</v>
      </c>
    </row>
    <row r="36" spans="1:31">
      <c r="A36" s="27">
        <v>45778</v>
      </c>
      <c r="B36" s="27">
        <v>45778</v>
      </c>
      <c r="C36" s="27">
        <v>45778</v>
      </c>
      <c r="D36" s="28" t="s">
        <v>537</v>
      </c>
      <c r="E36" s="28" t="s">
        <v>111</v>
      </c>
      <c r="F36" s="28" t="s">
        <v>112</v>
      </c>
      <c r="G36" s="28" t="s">
        <v>538</v>
      </c>
      <c r="H36" s="28" t="s">
        <v>113</v>
      </c>
      <c r="I36" s="28" t="s">
        <v>539</v>
      </c>
      <c r="J36" s="28" t="s">
        <v>540</v>
      </c>
      <c r="K36" s="28" t="s">
        <v>541</v>
      </c>
      <c r="L36" s="28" t="s">
        <v>125</v>
      </c>
      <c r="M36" s="26">
        <v>30</v>
      </c>
      <c r="N36" s="26">
        <v>93.49</v>
      </c>
      <c r="O36" s="26">
        <v>0</v>
      </c>
      <c r="P36" s="26">
        <v>0</v>
      </c>
      <c r="Q36" s="26">
        <v>0</v>
      </c>
      <c r="R36" s="26">
        <v>16.850000000000001</v>
      </c>
      <c r="S36" s="26">
        <v>0</v>
      </c>
      <c r="T36" s="26">
        <v>110.34</v>
      </c>
      <c r="U36" s="28" t="s">
        <v>115</v>
      </c>
      <c r="V36" s="26"/>
      <c r="W36" s="26">
        <v>0</v>
      </c>
      <c r="X36" s="26">
        <v>0</v>
      </c>
      <c r="Y36" s="26">
        <v>3.6779999999999999</v>
      </c>
      <c r="Z36" s="28" t="s">
        <v>116</v>
      </c>
      <c r="AA36" s="28" t="s">
        <v>117</v>
      </c>
      <c r="AB36" s="26"/>
      <c r="AC36" s="28" t="s">
        <v>118</v>
      </c>
      <c r="AD36" s="28" t="s">
        <v>215</v>
      </c>
      <c r="AE36" s="28" t="s">
        <v>215</v>
      </c>
    </row>
    <row r="37" spans="1:31">
      <c r="A37" s="27">
        <v>45778</v>
      </c>
      <c r="B37" s="27">
        <v>45778</v>
      </c>
      <c r="C37" s="27">
        <v>45778</v>
      </c>
      <c r="D37" s="28" t="s">
        <v>542</v>
      </c>
      <c r="E37" s="28" t="s">
        <v>111</v>
      </c>
      <c r="F37" s="28" t="s">
        <v>112</v>
      </c>
      <c r="G37" s="28" t="s">
        <v>543</v>
      </c>
      <c r="H37" s="28" t="s">
        <v>113</v>
      </c>
      <c r="I37" s="28" t="s">
        <v>539</v>
      </c>
      <c r="J37" s="28" t="s">
        <v>540</v>
      </c>
      <c r="K37" s="28" t="s">
        <v>541</v>
      </c>
      <c r="L37" s="28" t="s">
        <v>125</v>
      </c>
      <c r="M37" s="26">
        <v>30</v>
      </c>
      <c r="N37" s="26">
        <v>93.49</v>
      </c>
      <c r="O37" s="26">
        <v>0</v>
      </c>
      <c r="P37" s="26">
        <v>0</v>
      </c>
      <c r="Q37" s="26">
        <v>0</v>
      </c>
      <c r="R37" s="26">
        <v>16.850000000000001</v>
      </c>
      <c r="S37" s="26">
        <v>0</v>
      </c>
      <c r="T37" s="26">
        <v>110.34</v>
      </c>
      <c r="U37" s="28" t="s">
        <v>115</v>
      </c>
      <c r="V37" s="26"/>
      <c r="W37" s="26">
        <v>0</v>
      </c>
      <c r="X37" s="26">
        <v>0</v>
      </c>
      <c r="Y37" s="26">
        <v>3.6779999999999999</v>
      </c>
      <c r="Z37" s="28" t="s">
        <v>116</v>
      </c>
      <c r="AA37" s="28" t="s">
        <v>117</v>
      </c>
      <c r="AB37" s="26"/>
      <c r="AC37" s="28" t="s">
        <v>118</v>
      </c>
      <c r="AD37" s="28" t="s">
        <v>215</v>
      </c>
      <c r="AE37" s="28" t="s">
        <v>215</v>
      </c>
    </row>
    <row r="38" spans="1:31">
      <c r="A38" s="27">
        <v>45778</v>
      </c>
      <c r="B38" s="27">
        <v>45778</v>
      </c>
      <c r="C38" s="27">
        <v>45778</v>
      </c>
      <c r="D38" s="28" t="s">
        <v>544</v>
      </c>
      <c r="E38" s="28" t="s">
        <v>111</v>
      </c>
      <c r="F38" s="28" t="s">
        <v>112</v>
      </c>
      <c r="G38" s="28" t="s">
        <v>545</v>
      </c>
      <c r="H38" s="28" t="s">
        <v>113</v>
      </c>
      <c r="I38" s="28" t="s">
        <v>539</v>
      </c>
      <c r="J38" s="28" t="s">
        <v>540</v>
      </c>
      <c r="K38" s="28" t="s">
        <v>541</v>
      </c>
      <c r="L38" s="28" t="s">
        <v>125</v>
      </c>
      <c r="M38" s="26">
        <v>30</v>
      </c>
      <c r="N38" s="26">
        <v>93.49</v>
      </c>
      <c r="O38" s="26">
        <v>0</v>
      </c>
      <c r="P38" s="26">
        <v>0</v>
      </c>
      <c r="Q38" s="26">
        <v>0</v>
      </c>
      <c r="R38" s="26">
        <v>16.850000000000001</v>
      </c>
      <c r="S38" s="26">
        <v>0</v>
      </c>
      <c r="T38" s="26">
        <v>110.34</v>
      </c>
      <c r="U38" s="28" t="s">
        <v>115</v>
      </c>
      <c r="V38" s="26"/>
      <c r="W38" s="26">
        <v>0</v>
      </c>
      <c r="X38" s="26">
        <v>0</v>
      </c>
      <c r="Y38" s="26">
        <v>3.6779999999999999</v>
      </c>
      <c r="Z38" s="28" t="s">
        <v>116</v>
      </c>
      <c r="AA38" s="28" t="s">
        <v>117</v>
      </c>
      <c r="AB38" s="26"/>
      <c r="AC38" s="28" t="s">
        <v>118</v>
      </c>
      <c r="AD38" s="28" t="s">
        <v>215</v>
      </c>
      <c r="AE38" s="28" t="s">
        <v>215</v>
      </c>
    </row>
    <row r="39" spans="1:31">
      <c r="A39" s="27">
        <v>45778</v>
      </c>
      <c r="B39" s="27">
        <v>45778</v>
      </c>
      <c r="C39" s="27">
        <v>45778</v>
      </c>
      <c r="D39" s="28" t="s">
        <v>143</v>
      </c>
      <c r="E39" s="28" t="s">
        <v>111</v>
      </c>
      <c r="F39" s="28" t="s">
        <v>129</v>
      </c>
      <c r="G39" s="28" t="s">
        <v>327</v>
      </c>
      <c r="H39" s="28" t="s">
        <v>113</v>
      </c>
      <c r="I39" s="28" t="s">
        <v>130</v>
      </c>
      <c r="J39" s="28" t="s">
        <v>131</v>
      </c>
      <c r="K39" s="28" t="s">
        <v>132</v>
      </c>
      <c r="L39" s="28" t="s">
        <v>114</v>
      </c>
      <c r="M39" s="26">
        <v>118.89</v>
      </c>
      <c r="N39" s="26">
        <v>100.75</v>
      </c>
      <c r="O39" s="26">
        <v>0</v>
      </c>
      <c r="P39" s="26">
        <v>0</v>
      </c>
      <c r="Q39" s="26">
        <v>0</v>
      </c>
      <c r="R39" s="26">
        <v>18.14</v>
      </c>
      <c r="S39" s="26">
        <v>0</v>
      </c>
      <c r="T39" s="26">
        <v>118.89</v>
      </c>
      <c r="U39" s="28" t="s">
        <v>115</v>
      </c>
      <c r="V39" s="26"/>
      <c r="W39" s="26">
        <v>0</v>
      </c>
      <c r="X39" s="26">
        <v>0</v>
      </c>
      <c r="Y39" s="26">
        <v>3.6779999999999999</v>
      </c>
      <c r="Z39" s="28" t="s">
        <v>116</v>
      </c>
      <c r="AA39" s="28" t="s">
        <v>117</v>
      </c>
      <c r="AB39" s="26"/>
      <c r="AC39" s="28" t="s">
        <v>118</v>
      </c>
      <c r="AD39" s="28" t="s">
        <v>215</v>
      </c>
      <c r="AE39" s="28" t="s">
        <v>215</v>
      </c>
    </row>
    <row r="40" spans="1:31">
      <c r="A40" s="27">
        <v>45778</v>
      </c>
      <c r="B40" s="27">
        <v>45778</v>
      </c>
      <c r="C40" s="27">
        <v>45778</v>
      </c>
      <c r="D40" s="28" t="s">
        <v>128</v>
      </c>
      <c r="E40" s="28" t="s">
        <v>111</v>
      </c>
      <c r="F40" s="28" t="s">
        <v>129</v>
      </c>
      <c r="G40" s="28" t="s">
        <v>328</v>
      </c>
      <c r="H40" s="28" t="s">
        <v>113</v>
      </c>
      <c r="I40" s="28" t="s">
        <v>130</v>
      </c>
      <c r="J40" s="28" t="s">
        <v>131</v>
      </c>
      <c r="K40" s="28" t="s">
        <v>132</v>
      </c>
      <c r="L40" s="28" t="s">
        <v>114</v>
      </c>
      <c r="M40" s="26">
        <v>118.89</v>
      </c>
      <c r="N40" s="26">
        <v>100.75</v>
      </c>
      <c r="O40" s="26">
        <v>0</v>
      </c>
      <c r="P40" s="26">
        <v>0</v>
      </c>
      <c r="Q40" s="26">
        <v>0</v>
      </c>
      <c r="R40" s="26">
        <v>18.14</v>
      </c>
      <c r="S40" s="26">
        <v>0</v>
      </c>
      <c r="T40" s="26">
        <v>118.89</v>
      </c>
      <c r="U40" s="28" t="s">
        <v>115</v>
      </c>
      <c r="V40" s="26"/>
      <c r="W40" s="26">
        <v>0</v>
      </c>
      <c r="X40" s="26">
        <v>0</v>
      </c>
      <c r="Y40" s="26">
        <v>3.6779999999999999</v>
      </c>
      <c r="Z40" s="28" t="s">
        <v>116</v>
      </c>
      <c r="AA40" s="28" t="s">
        <v>117</v>
      </c>
      <c r="AB40" s="26"/>
      <c r="AC40" s="28" t="s">
        <v>118</v>
      </c>
      <c r="AD40" s="28" t="s">
        <v>215</v>
      </c>
      <c r="AE40" s="28" t="s">
        <v>215</v>
      </c>
    </row>
    <row r="41" spans="1:31">
      <c r="A41" s="27">
        <v>45779</v>
      </c>
      <c r="B41" s="27">
        <v>45779</v>
      </c>
      <c r="C41" s="27">
        <v>45779</v>
      </c>
      <c r="D41" s="28" t="s">
        <v>133</v>
      </c>
      <c r="E41" s="28" t="s">
        <v>111</v>
      </c>
      <c r="F41" s="28" t="s">
        <v>134</v>
      </c>
      <c r="G41" s="28" t="s">
        <v>329</v>
      </c>
      <c r="H41" s="28" t="s">
        <v>113</v>
      </c>
      <c r="I41" s="28" t="s">
        <v>135</v>
      </c>
      <c r="J41" s="28" t="s">
        <v>136</v>
      </c>
      <c r="K41" s="28" t="s">
        <v>137</v>
      </c>
      <c r="L41" s="28" t="s">
        <v>114</v>
      </c>
      <c r="M41" s="26">
        <v>117.5</v>
      </c>
      <c r="N41" s="26">
        <v>0</v>
      </c>
      <c r="O41" s="26">
        <v>0</v>
      </c>
      <c r="P41" s="26">
        <v>117.5</v>
      </c>
      <c r="Q41" s="26">
        <v>0</v>
      </c>
      <c r="R41" s="26">
        <v>0</v>
      </c>
      <c r="S41" s="26">
        <v>0</v>
      </c>
      <c r="T41" s="26">
        <v>117.5</v>
      </c>
      <c r="U41" s="28" t="s">
        <v>115</v>
      </c>
      <c r="V41" s="26"/>
      <c r="W41" s="26">
        <v>0</v>
      </c>
      <c r="X41" s="26">
        <v>0</v>
      </c>
      <c r="Y41" s="26">
        <v>3.6779999999999999</v>
      </c>
      <c r="Z41" s="28" t="s">
        <v>116</v>
      </c>
      <c r="AA41" s="28" t="s">
        <v>117</v>
      </c>
      <c r="AB41" s="26"/>
      <c r="AC41" s="28" t="s">
        <v>118</v>
      </c>
      <c r="AD41" s="28" t="s">
        <v>216</v>
      </c>
      <c r="AE41" s="28" t="s">
        <v>216</v>
      </c>
    </row>
    <row r="42" spans="1:31">
      <c r="A42" s="27">
        <v>45782</v>
      </c>
      <c r="B42" s="27">
        <v>45782</v>
      </c>
      <c r="C42" s="27">
        <v>45782</v>
      </c>
      <c r="D42" s="28" t="s">
        <v>150</v>
      </c>
      <c r="E42" s="28" t="s">
        <v>111</v>
      </c>
      <c r="F42" s="28" t="s">
        <v>167</v>
      </c>
      <c r="G42" s="28" t="s">
        <v>330</v>
      </c>
      <c r="H42" s="28" t="s">
        <v>113</v>
      </c>
      <c r="I42" s="28" t="s">
        <v>135</v>
      </c>
      <c r="J42" s="28" t="s">
        <v>136</v>
      </c>
      <c r="K42" s="28" t="s">
        <v>137</v>
      </c>
      <c r="L42" s="28" t="s">
        <v>125</v>
      </c>
      <c r="M42" s="26">
        <v>67</v>
      </c>
      <c r="N42" s="26">
        <v>0</v>
      </c>
      <c r="O42" s="26">
        <v>0</v>
      </c>
      <c r="P42" s="26">
        <v>245.56</v>
      </c>
      <c r="Q42" s="26">
        <v>0</v>
      </c>
      <c r="R42" s="26">
        <v>0</v>
      </c>
      <c r="S42" s="26">
        <v>0</v>
      </c>
      <c r="T42" s="26">
        <v>245.56</v>
      </c>
      <c r="U42" s="28" t="s">
        <v>115</v>
      </c>
      <c r="V42" s="26"/>
      <c r="W42" s="26">
        <v>0</v>
      </c>
      <c r="X42" s="26">
        <v>0</v>
      </c>
      <c r="Y42" s="26">
        <v>3.665</v>
      </c>
      <c r="Z42" s="28" t="s">
        <v>116</v>
      </c>
      <c r="AA42" s="28" t="s">
        <v>117</v>
      </c>
      <c r="AB42" s="26"/>
      <c r="AC42" s="28" t="s">
        <v>118</v>
      </c>
      <c r="AD42" s="28" t="s">
        <v>207</v>
      </c>
      <c r="AE42" s="28" t="s">
        <v>207</v>
      </c>
    </row>
    <row r="43" spans="1:31">
      <c r="A43" s="27">
        <v>45782</v>
      </c>
      <c r="B43" s="27">
        <v>45782</v>
      </c>
      <c r="C43" s="27">
        <v>45782</v>
      </c>
      <c r="D43" s="28" t="s">
        <v>138</v>
      </c>
      <c r="E43" s="28" t="s">
        <v>111</v>
      </c>
      <c r="F43" s="28" t="s">
        <v>134</v>
      </c>
      <c r="G43" s="28" t="s">
        <v>331</v>
      </c>
      <c r="H43" s="28" t="s">
        <v>113</v>
      </c>
      <c r="I43" s="28" t="s">
        <v>135</v>
      </c>
      <c r="J43" s="28" t="s">
        <v>136</v>
      </c>
      <c r="K43" s="28" t="s">
        <v>137</v>
      </c>
      <c r="L43" s="28" t="s">
        <v>114</v>
      </c>
      <c r="M43" s="26">
        <v>68.400000000000006</v>
      </c>
      <c r="N43" s="26">
        <v>0</v>
      </c>
      <c r="O43" s="26">
        <v>0</v>
      </c>
      <c r="P43" s="26">
        <v>68.400000000000006</v>
      </c>
      <c r="Q43" s="26">
        <v>0</v>
      </c>
      <c r="R43" s="26">
        <v>0</v>
      </c>
      <c r="S43" s="26">
        <v>0</v>
      </c>
      <c r="T43" s="26">
        <v>68.400000000000006</v>
      </c>
      <c r="U43" s="28" t="s">
        <v>115</v>
      </c>
      <c r="V43" s="26"/>
      <c r="W43" s="26">
        <v>0</v>
      </c>
      <c r="X43" s="26">
        <v>0</v>
      </c>
      <c r="Y43" s="26">
        <v>3.665</v>
      </c>
      <c r="Z43" s="28" t="s">
        <v>116</v>
      </c>
      <c r="AA43" s="28" t="s">
        <v>117</v>
      </c>
      <c r="AB43" s="26"/>
      <c r="AC43" s="28" t="s">
        <v>118</v>
      </c>
      <c r="AD43" s="28" t="s">
        <v>207</v>
      </c>
      <c r="AE43" s="28" t="s">
        <v>207</v>
      </c>
    </row>
    <row r="44" spans="1:31">
      <c r="A44" s="27">
        <v>45782</v>
      </c>
      <c r="B44" s="27">
        <v>45782</v>
      </c>
      <c r="C44" s="27">
        <v>45782</v>
      </c>
      <c r="D44" s="28" t="s">
        <v>147</v>
      </c>
      <c r="E44" s="28" t="s">
        <v>111</v>
      </c>
      <c r="F44" s="28" t="s">
        <v>134</v>
      </c>
      <c r="G44" s="28" t="s">
        <v>332</v>
      </c>
      <c r="H44" s="28" t="s">
        <v>113</v>
      </c>
      <c r="I44" s="28" t="s">
        <v>135</v>
      </c>
      <c r="J44" s="28" t="s">
        <v>136</v>
      </c>
      <c r="K44" s="28" t="s">
        <v>137</v>
      </c>
      <c r="L44" s="28" t="s">
        <v>114</v>
      </c>
      <c r="M44" s="26">
        <v>134.6</v>
      </c>
      <c r="N44" s="26">
        <v>0</v>
      </c>
      <c r="O44" s="26">
        <v>0</v>
      </c>
      <c r="P44" s="26">
        <v>134.6</v>
      </c>
      <c r="Q44" s="26">
        <v>0</v>
      </c>
      <c r="R44" s="26">
        <v>0</v>
      </c>
      <c r="S44" s="26">
        <v>0</v>
      </c>
      <c r="T44" s="26">
        <v>134.6</v>
      </c>
      <c r="U44" s="28" t="s">
        <v>115</v>
      </c>
      <c r="V44" s="26"/>
      <c r="W44" s="26">
        <v>0</v>
      </c>
      <c r="X44" s="26">
        <v>0</v>
      </c>
      <c r="Y44" s="26">
        <v>3.665</v>
      </c>
      <c r="Z44" s="28" t="s">
        <v>116</v>
      </c>
      <c r="AA44" s="28" t="s">
        <v>117</v>
      </c>
      <c r="AB44" s="26"/>
      <c r="AC44" s="28" t="s">
        <v>118</v>
      </c>
      <c r="AD44" s="28" t="s">
        <v>207</v>
      </c>
      <c r="AE44" s="28" t="s">
        <v>207</v>
      </c>
    </row>
    <row r="45" spans="1:31">
      <c r="A45" s="27">
        <v>45782</v>
      </c>
      <c r="B45" s="27">
        <v>45782</v>
      </c>
      <c r="C45" s="27">
        <v>45782</v>
      </c>
      <c r="D45" s="28" t="s">
        <v>139</v>
      </c>
      <c r="E45" s="28" t="s">
        <v>111</v>
      </c>
      <c r="F45" s="28" t="s">
        <v>333</v>
      </c>
      <c r="G45" s="28" t="s">
        <v>334</v>
      </c>
      <c r="H45" s="28" t="s">
        <v>113</v>
      </c>
      <c r="I45" s="28" t="s">
        <v>335</v>
      </c>
      <c r="J45" s="28" t="s">
        <v>336</v>
      </c>
      <c r="K45" s="28" t="s">
        <v>337</v>
      </c>
      <c r="L45" s="28" t="s">
        <v>114</v>
      </c>
      <c r="M45" s="26">
        <v>144</v>
      </c>
      <c r="N45" s="26">
        <v>0</v>
      </c>
      <c r="O45" s="26">
        <v>0</v>
      </c>
      <c r="P45" s="26">
        <v>144</v>
      </c>
      <c r="Q45" s="26">
        <v>0</v>
      </c>
      <c r="R45" s="26">
        <v>0</v>
      </c>
      <c r="S45" s="26">
        <v>0</v>
      </c>
      <c r="T45" s="26">
        <v>144</v>
      </c>
      <c r="U45" s="28" t="s">
        <v>115</v>
      </c>
      <c r="V45" s="26"/>
      <c r="W45" s="26">
        <v>0</v>
      </c>
      <c r="X45" s="26">
        <v>0</v>
      </c>
      <c r="Y45" s="26">
        <v>3.665</v>
      </c>
      <c r="Z45" s="28" t="s">
        <v>116</v>
      </c>
      <c r="AA45" s="28" t="s">
        <v>117</v>
      </c>
      <c r="AB45" s="26"/>
      <c r="AC45" s="28" t="s">
        <v>118</v>
      </c>
      <c r="AD45" s="28" t="s">
        <v>207</v>
      </c>
      <c r="AE45" s="28" t="s">
        <v>207</v>
      </c>
    </row>
    <row r="46" spans="1:31">
      <c r="A46" s="27">
        <v>45782</v>
      </c>
      <c r="B46" s="27">
        <v>45782</v>
      </c>
      <c r="C46" s="27">
        <v>45782</v>
      </c>
      <c r="D46" s="28" t="s">
        <v>148</v>
      </c>
      <c r="E46" s="28" t="s">
        <v>111</v>
      </c>
      <c r="F46" s="28" t="s">
        <v>149</v>
      </c>
      <c r="G46" s="28" t="s">
        <v>338</v>
      </c>
      <c r="H46" s="28" t="s">
        <v>113</v>
      </c>
      <c r="I46" s="28" t="s">
        <v>140</v>
      </c>
      <c r="J46" s="28" t="s">
        <v>141</v>
      </c>
      <c r="K46" s="28" t="s">
        <v>142</v>
      </c>
      <c r="L46" s="28" t="s">
        <v>114</v>
      </c>
      <c r="M46" s="26">
        <v>40</v>
      </c>
      <c r="N46" s="26">
        <v>0</v>
      </c>
      <c r="O46" s="26">
        <v>0</v>
      </c>
      <c r="P46" s="26">
        <v>40</v>
      </c>
      <c r="Q46" s="26">
        <v>0</v>
      </c>
      <c r="R46" s="26">
        <v>0</v>
      </c>
      <c r="S46" s="26">
        <v>0</v>
      </c>
      <c r="T46" s="26">
        <v>40</v>
      </c>
      <c r="U46" s="28" t="s">
        <v>115</v>
      </c>
      <c r="V46" s="26"/>
      <c r="W46" s="26">
        <v>0</v>
      </c>
      <c r="X46" s="26">
        <v>0</v>
      </c>
      <c r="Y46" s="26">
        <v>3.665</v>
      </c>
      <c r="Z46" s="28" t="s">
        <v>116</v>
      </c>
      <c r="AA46" s="28" t="s">
        <v>117</v>
      </c>
      <c r="AB46" s="26"/>
      <c r="AC46" s="28" t="s">
        <v>118</v>
      </c>
      <c r="AD46" s="28" t="s">
        <v>207</v>
      </c>
      <c r="AE46" s="28" t="s">
        <v>207</v>
      </c>
    </row>
    <row r="47" spans="1:31">
      <c r="A47" s="27">
        <v>45782</v>
      </c>
      <c r="B47" s="27">
        <v>45789</v>
      </c>
      <c r="C47" s="27">
        <v>45782</v>
      </c>
      <c r="D47" s="28" t="s">
        <v>258</v>
      </c>
      <c r="E47" s="28" t="s">
        <v>111</v>
      </c>
      <c r="F47" s="28" t="s">
        <v>77</v>
      </c>
      <c r="G47" s="28" t="s">
        <v>339</v>
      </c>
      <c r="H47" s="28" t="s">
        <v>113</v>
      </c>
      <c r="I47" s="28" t="s">
        <v>340</v>
      </c>
      <c r="J47" s="28" t="s">
        <v>341</v>
      </c>
      <c r="K47" s="28" t="s">
        <v>342</v>
      </c>
      <c r="L47" s="28" t="s">
        <v>114</v>
      </c>
      <c r="M47" s="26">
        <v>3121.1</v>
      </c>
      <c r="N47" s="26">
        <v>2645</v>
      </c>
      <c r="O47" s="26">
        <v>0</v>
      </c>
      <c r="P47" s="26">
        <v>0</v>
      </c>
      <c r="Q47" s="26">
        <v>0</v>
      </c>
      <c r="R47" s="26">
        <v>476.1</v>
      </c>
      <c r="S47" s="26">
        <v>0</v>
      </c>
      <c r="T47" s="26">
        <v>3121.1</v>
      </c>
      <c r="U47" s="28" t="s">
        <v>343</v>
      </c>
      <c r="V47" s="27">
        <v>45800</v>
      </c>
      <c r="W47" s="26">
        <v>0</v>
      </c>
      <c r="X47" s="26">
        <v>0</v>
      </c>
      <c r="Y47" s="26">
        <v>3.665</v>
      </c>
      <c r="Z47" s="28" t="s">
        <v>116</v>
      </c>
      <c r="AA47" s="28" t="s">
        <v>117</v>
      </c>
      <c r="AB47" s="26"/>
      <c r="AC47" s="28" t="s">
        <v>118</v>
      </c>
      <c r="AD47" s="28" t="s">
        <v>207</v>
      </c>
      <c r="AE47" s="28" t="s">
        <v>207</v>
      </c>
    </row>
    <row r="48" spans="1:31">
      <c r="A48" s="27">
        <v>45783</v>
      </c>
      <c r="B48" s="27">
        <v>45783</v>
      </c>
      <c r="C48" s="27">
        <v>45783</v>
      </c>
      <c r="D48" s="28" t="s">
        <v>155</v>
      </c>
      <c r="E48" s="28" t="s">
        <v>111</v>
      </c>
      <c r="F48" s="28" t="s">
        <v>134</v>
      </c>
      <c r="G48" s="28" t="s">
        <v>344</v>
      </c>
      <c r="H48" s="28" t="s">
        <v>113</v>
      </c>
      <c r="I48" s="28" t="s">
        <v>135</v>
      </c>
      <c r="J48" s="28" t="s">
        <v>136</v>
      </c>
      <c r="K48" s="28" t="s">
        <v>137</v>
      </c>
      <c r="L48" s="28" t="s">
        <v>114</v>
      </c>
      <c r="M48" s="26">
        <v>83.8</v>
      </c>
      <c r="N48" s="26">
        <v>0</v>
      </c>
      <c r="O48" s="26">
        <v>0</v>
      </c>
      <c r="P48" s="26">
        <v>83.8</v>
      </c>
      <c r="Q48" s="26">
        <v>0</v>
      </c>
      <c r="R48" s="26">
        <v>0</v>
      </c>
      <c r="S48" s="26">
        <v>0</v>
      </c>
      <c r="T48" s="26">
        <v>83.8</v>
      </c>
      <c r="U48" s="28" t="s">
        <v>115</v>
      </c>
      <c r="V48" s="26"/>
      <c r="W48" s="26">
        <v>0</v>
      </c>
      <c r="X48" s="26">
        <v>0</v>
      </c>
      <c r="Y48" s="26">
        <v>3.6619999999999999</v>
      </c>
      <c r="Z48" s="28" t="s">
        <v>116</v>
      </c>
      <c r="AA48" s="28" t="s">
        <v>117</v>
      </c>
      <c r="AB48" s="26"/>
      <c r="AC48" s="28" t="s">
        <v>118</v>
      </c>
      <c r="AD48" s="28" t="s">
        <v>208</v>
      </c>
      <c r="AE48" s="28" t="s">
        <v>208</v>
      </c>
    </row>
    <row r="49" spans="1:31">
      <c r="A49" s="27">
        <v>45783</v>
      </c>
      <c r="B49" s="27">
        <v>45783</v>
      </c>
      <c r="C49" s="27">
        <v>45783</v>
      </c>
      <c r="D49" s="28" t="s">
        <v>156</v>
      </c>
      <c r="E49" s="28" t="s">
        <v>111</v>
      </c>
      <c r="F49" s="28" t="s">
        <v>134</v>
      </c>
      <c r="G49" s="28" t="s">
        <v>345</v>
      </c>
      <c r="H49" s="28" t="s">
        <v>113</v>
      </c>
      <c r="I49" s="28" t="s">
        <v>135</v>
      </c>
      <c r="J49" s="28" t="s">
        <v>136</v>
      </c>
      <c r="K49" s="28" t="s">
        <v>137</v>
      </c>
      <c r="L49" s="28" t="s">
        <v>114</v>
      </c>
      <c r="M49" s="26">
        <v>60.8</v>
      </c>
      <c r="N49" s="26">
        <v>0</v>
      </c>
      <c r="O49" s="26">
        <v>0</v>
      </c>
      <c r="P49" s="26">
        <v>60.8</v>
      </c>
      <c r="Q49" s="26">
        <v>0</v>
      </c>
      <c r="R49" s="26">
        <v>0</v>
      </c>
      <c r="S49" s="26">
        <v>0</v>
      </c>
      <c r="T49" s="26">
        <v>60.8</v>
      </c>
      <c r="U49" s="28" t="s">
        <v>115</v>
      </c>
      <c r="V49" s="26"/>
      <c r="W49" s="26">
        <v>0</v>
      </c>
      <c r="X49" s="26">
        <v>0</v>
      </c>
      <c r="Y49" s="26">
        <v>3.6619999999999999</v>
      </c>
      <c r="Z49" s="28" t="s">
        <v>116</v>
      </c>
      <c r="AA49" s="28" t="s">
        <v>117</v>
      </c>
      <c r="AB49" s="26"/>
      <c r="AC49" s="28" t="s">
        <v>118</v>
      </c>
      <c r="AD49" s="28" t="s">
        <v>208</v>
      </c>
      <c r="AE49" s="28" t="s">
        <v>208</v>
      </c>
    </row>
    <row r="50" spans="1:31">
      <c r="A50" s="27">
        <v>45783</v>
      </c>
      <c r="B50" s="27">
        <v>45783</v>
      </c>
      <c r="C50" s="27">
        <v>45783</v>
      </c>
      <c r="D50" s="28" t="s">
        <v>144</v>
      </c>
      <c r="E50" s="28" t="s">
        <v>111</v>
      </c>
      <c r="F50" s="28" t="s">
        <v>151</v>
      </c>
      <c r="G50" s="28" t="s">
        <v>346</v>
      </c>
      <c r="H50" s="28" t="s">
        <v>113</v>
      </c>
      <c r="I50" s="28" t="s">
        <v>152</v>
      </c>
      <c r="J50" s="28" t="s">
        <v>153</v>
      </c>
      <c r="K50" s="28" t="s">
        <v>154</v>
      </c>
      <c r="L50" s="28" t="s">
        <v>114</v>
      </c>
      <c r="M50" s="26">
        <v>72</v>
      </c>
      <c r="N50" s="26">
        <v>61.02</v>
      </c>
      <c r="O50" s="26">
        <v>0</v>
      </c>
      <c r="P50" s="26">
        <v>0</v>
      </c>
      <c r="Q50" s="26">
        <v>0</v>
      </c>
      <c r="R50" s="26">
        <v>10.98</v>
      </c>
      <c r="S50" s="26">
        <v>0</v>
      </c>
      <c r="T50" s="26">
        <v>72</v>
      </c>
      <c r="U50" s="28" t="s">
        <v>115</v>
      </c>
      <c r="V50" s="26"/>
      <c r="W50" s="26">
        <v>0</v>
      </c>
      <c r="X50" s="26">
        <v>0</v>
      </c>
      <c r="Y50" s="26">
        <v>3.6619999999999999</v>
      </c>
      <c r="Z50" s="28" t="s">
        <v>116</v>
      </c>
      <c r="AA50" s="28" t="s">
        <v>117</v>
      </c>
      <c r="AB50" s="26"/>
      <c r="AC50" s="28" t="s">
        <v>118</v>
      </c>
      <c r="AD50" s="28" t="s">
        <v>208</v>
      </c>
      <c r="AE50" s="28" t="s">
        <v>208</v>
      </c>
    </row>
    <row r="51" spans="1:31">
      <c r="A51" s="27">
        <v>45783</v>
      </c>
      <c r="B51" s="27">
        <v>45783</v>
      </c>
      <c r="C51" s="27">
        <v>45783</v>
      </c>
      <c r="D51" s="28" t="s">
        <v>145</v>
      </c>
      <c r="E51" s="28" t="s">
        <v>111</v>
      </c>
      <c r="F51" s="28" t="s">
        <v>151</v>
      </c>
      <c r="G51" s="28" t="s">
        <v>347</v>
      </c>
      <c r="H51" s="28" t="s">
        <v>113</v>
      </c>
      <c r="I51" s="28" t="s">
        <v>152</v>
      </c>
      <c r="J51" s="28" t="s">
        <v>153</v>
      </c>
      <c r="K51" s="28" t="s">
        <v>154</v>
      </c>
      <c r="L51" s="28" t="s">
        <v>114</v>
      </c>
      <c r="M51" s="26">
        <v>36</v>
      </c>
      <c r="N51" s="26">
        <v>30.51</v>
      </c>
      <c r="O51" s="26">
        <v>0</v>
      </c>
      <c r="P51" s="26">
        <v>0</v>
      </c>
      <c r="Q51" s="26">
        <v>0</v>
      </c>
      <c r="R51" s="26">
        <v>5.49</v>
      </c>
      <c r="S51" s="26">
        <v>0</v>
      </c>
      <c r="T51" s="26">
        <v>36</v>
      </c>
      <c r="U51" s="28" t="s">
        <v>115</v>
      </c>
      <c r="V51" s="26"/>
      <c r="W51" s="26">
        <v>0</v>
      </c>
      <c r="X51" s="26">
        <v>0</v>
      </c>
      <c r="Y51" s="26">
        <v>3.6619999999999999</v>
      </c>
      <c r="Z51" s="28" t="s">
        <v>116</v>
      </c>
      <c r="AA51" s="28" t="s">
        <v>117</v>
      </c>
      <c r="AB51" s="26"/>
      <c r="AC51" s="28" t="s">
        <v>118</v>
      </c>
      <c r="AD51" s="28" t="s">
        <v>208</v>
      </c>
      <c r="AE51" s="28" t="s">
        <v>208</v>
      </c>
    </row>
    <row r="52" spans="1:31">
      <c r="A52" s="27">
        <v>45783</v>
      </c>
      <c r="B52" s="27">
        <v>45783</v>
      </c>
      <c r="C52" s="27">
        <v>45783</v>
      </c>
      <c r="D52" s="28" t="s">
        <v>146</v>
      </c>
      <c r="E52" s="28" t="s">
        <v>111</v>
      </c>
      <c r="F52" s="28" t="s">
        <v>151</v>
      </c>
      <c r="G52" s="28" t="s">
        <v>348</v>
      </c>
      <c r="H52" s="28" t="s">
        <v>113</v>
      </c>
      <c r="I52" s="28" t="s">
        <v>152</v>
      </c>
      <c r="J52" s="28" t="s">
        <v>153</v>
      </c>
      <c r="K52" s="28" t="s">
        <v>154</v>
      </c>
      <c r="L52" s="28" t="s">
        <v>114</v>
      </c>
      <c r="M52" s="26">
        <v>72</v>
      </c>
      <c r="N52" s="26">
        <v>61.02</v>
      </c>
      <c r="O52" s="26">
        <v>0</v>
      </c>
      <c r="P52" s="26">
        <v>0</v>
      </c>
      <c r="Q52" s="26">
        <v>0</v>
      </c>
      <c r="R52" s="26">
        <v>10.98</v>
      </c>
      <c r="S52" s="26">
        <v>0</v>
      </c>
      <c r="T52" s="26">
        <v>72</v>
      </c>
      <c r="U52" s="28" t="s">
        <v>115</v>
      </c>
      <c r="V52" s="26"/>
      <c r="W52" s="26">
        <v>0</v>
      </c>
      <c r="X52" s="26">
        <v>0</v>
      </c>
      <c r="Y52" s="26">
        <v>3.6619999999999999</v>
      </c>
      <c r="Z52" s="28" t="s">
        <v>116</v>
      </c>
      <c r="AA52" s="28" t="s">
        <v>117</v>
      </c>
      <c r="AB52" s="26"/>
      <c r="AC52" s="28" t="s">
        <v>118</v>
      </c>
      <c r="AD52" s="28" t="s">
        <v>208</v>
      </c>
      <c r="AE52" s="28" t="s">
        <v>208</v>
      </c>
    </row>
    <row r="53" spans="1:31">
      <c r="A53" s="27">
        <v>45783</v>
      </c>
      <c r="B53" s="27">
        <v>45783</v>
      </c>
      <c r="C53" s="27">
        <v>45783</v>
      </c>
      <c r="D53" s="28" t="s">
        <v>157</v>
      </c>
      <c r="E53" s="28" t="s">
        <v>111</v>
      </c>
      <c r="F53" s="28" t="s">
        <v>349</v>
      </c>
      <c r="G53" s="28" t="s">
        <v>350</v>
      </c>
      <c r="H53" s="28" t="s">
        <v>113</v>
      </c>
      <c r="I53" s="28" t="s">
        <v>351</v>
      </c>
      <c r="J53" s="28" t="s">
        <v>352</v>
      </c>
      <c r="K53" s="28" t="s">
        <v>353</v>
      </c>
      <c r="L53" s="28" t="s">
        <v>114</v>
      </c>
      <c r="M53" s="26">
        <v>693.27</v>
      </c>
      <c r="N53" s="26">
        <v>587.51</v>
      </c>
      <c r="O53" s="26">
        <v>0</v>
      </c>
      <c r="P53" s="26">
        <v>0</v>
      </c>
      <c r="Q53" s="26">
        <v>0</v>
      </c>
      <c r="R53" s="26">
        <v>105.76</v>
      </c>
      <c r="S53" s="26">
        <v>0</v>
      </c>
      <c r="T53" s="26">
        <v>693.27</v>
      </c>
      <c r="U53" s="28" t="s">
        <v>115</v>
      </c>
      <c r="V53" s="26"/>
      <c r="W53" s="26">
        <v>0</v>
      </c>
      <c r="X53" s="26">
        <v>0</v>
      </c>
      <c r="Y53" s="26">
        <v>3.6619999999999999</v>
      </c>
      <c r="Z53" s="28" t="s">
        <v>116</v>
      </c>
      <c r="AA53" s="28" t="s">
        <v>117</v>
      </c>
      <c r="AB53" s="26"/>
      <c r="AC53" s="28" t="s">
        <v>118</v>
      </c>
      <c r="AD53" s="28" t="s">
        <v>208</v>
      </c>
      <c r="AE53" s="28" t="s">
        <v>208</v>
      </c>
    </row>
    <row r="54" spans="1:31">
      <c r="A54" s="27">
        <v>45783</v>
      </c>
      <c r="B54" s="27">
        <v>45783</v>
      </c>
      <c r="C54" s="27">
        <v>45783</v>
      </c>
      <c r="D54" s="28" t="s">
        <v>158</v>
      </c>
      <c r="E54" s="28" t="s">
        <v>111</v>
      </c>
      <c r="F54" s="28" t="s">
        <v>349</v>
      </c>
      <c r="G54" s="28" t="s">
        <v>354</v>
      </c>
      <c r="H54" s="28" t="s">
        <v>113</v>
      </c>
      <c r="I54" s="28" t="s">
        <v>351</v>
      </c>
      <c r="J54" s="28" t="s">
        <v>352</v>
      </c>
      <c r="K54" s="28" t="s">
        <v>353</v>
      </c>
      <c r="L54" s="28" t="s">
        <v>114</v>
      </c>
      <c r="M54" s="26">
        <v>99.3</v>
      </c>
      <c r="N54" s="26">
        <v>84.15</v>
      </c>
      <c r="O54" s="26">
        <v>0</v>
      </c>
      <c r="P54" s="26">
        <v>0</v>
      </c>
      <c r="Q54" s="26">
        <v>0</v>
      </c>
      <c r="R54" s="26">
        <v>15.15</v>
      </c>
      <c r="S54" s="26">
        <v>0</v>
      </c>
      <c r="T54" s="26">
        <v>99.3</v>
      </c>
      <c r="U54" s="28" t="s">
        <v>115</v>
      </c>
      <c r="V54" s="26"/>
      <c r="W54" s="26">
        <v>0</v>
      </c>
      <c r="X54" s="26">
        <v>0</v>
      </c>
      <c r="Y54" s="26">
        <v>3.6619999999999999</v>
      </c>
      <c r="Z54" s="28" t="s">
        <v>116</v>
      </c>
      <c r="AA54" s="28" t="s">
        <v>117</v>
      </c>
      <c r="AB54" s="26"/>
      <c r="AC54" s="28" t="s">
        <v>118</v>
      </c>
      <c r="AD54" s="28" t="s">
        <v>208</v>
      </c>
      <c r="AE54" s="28" t="s">
        <v>208</v>
      </c>
    </row>
    <row r="55" spans="1:31">
      <c r="A55" s="27">
        <v>45783</v>
      </c>
      <c r="B55" s="27">
        <v>45783</v>
      </c>
      <c r="C55" s="27">
        <v>45783</v>
      </c>
      <c r="D55" s="28" t="s">
        <v>546</v>
      </c>
      <c r="E55" s="28" t="s">
        <v>111</v>
      </c>
      <c r="F55" s="28" t="s">
        <v>547</v>
      </c>
      <c r="G55" s="28" t="s">
        <v>548</v>
      </c>
      <c r="H55" s="28" t="s">
        <v>113</v>
      </c>
      <c r="I55" s="28" t="s">
        <v>549</v>
      </c>
      <c r="J55" s="28" t="s">
        <v>550</v>
      </c>
      <c r="K55" s="28" t="s">
        <v>551</v>
      </c>
      <c r="L55" s="28" t="s">
        <v>114</v>
      </c>
      <c r="M55" s="26">
        <v>154.11000000000001</v>
      </c>
      <c r="N55" s="26">
        <v>130.6</v>
      </c>
      <c r="O55" s="26">
        <v>0</v>
      </c>
      <c r="P55" s="26">
        <v>0</v>
      </c>
      <c r="Q55" s="26">
        <v>0</v>
      </c>
      <c r="R55" s="26">
        <v>23.51</v>
      </c>
      <c r="S55" s="26">
        <v>0</v>
      </c>
      <c r="T55" s="26">
        <v>154.11000000000001</v>
      </c>
      <c r="U55" s="28" t="s">
        <v>115</v>
      </c>
      <c r="V55" s="26"/>
      <c r="W55" s="26">
        <v>0</v>
      </c>
      <c r="X55" s="26">
        <v>0</v>
      </c>
      <c r="Y55" s="26">
        <v>3.6619999999999999</v>
      </c>
      <c r="Z55" s="28" t="s">
        <v>116</v>
      </c>
      <c r="AA55" s="28" t="s">
        <v>117</v>
      </c>
      <c r="AB55" s="26"/>
      <c r="AC55" s="28" t="s">
        <v>118</v>
      </c>
      <c r="AD55" s="28" t="s">
        <v>208</v>
      </c>
      <c r="AE55" s="28" t="s">
        <v>208</v>
      </c>
    </row>
    <row r="56" spans="1:31">
      <c r="A56" s="27">
        <v>45784</v>
      </c>
      <c r="B56" s="27">
        <v>45784</v>
      </c>
      <c r="C56" s="27">
        <v>45784</v>
      </c>
      <c r="D56" s="28" t="s">
        <v>259</v>
      </c>
      <c r="E56" s="28" t="s">
        <v>111</v>
      </c>
      <c r="F56" s="28" t="s">
        <v>263</v>
      </c>
      <c r="G56" s="28" t="s">
        <v>355</v>
      </c>
      <c r="H56" s="28" t="s">
        <v>113</v>
      </c>
      <c r="I56" s="28" t="s">
        <v>356</v>
      </c>
      <c r="J56" s="28" t="s">
        <v>357</v>
      </c>
      <c r="K56" s="28" t="s">
        <v>358</v>
      </c>
      <c r="L56" s="28" t="s">
        <v>125</v>
      </c>
      <c r="M56" s="26">
        <v>220</v>
      </c>
      <c r="N56" s="26">
        <v>0</v>
      </c>
      <c r="O56" s="26">
        <v>0</v>
      </c>
      <c r="P56" s="26">
        <v>805.86</v>
      </c>
      <c r="Q56" s="26">
        <v>0</v>
      </c>
      <c r="R56" s="26">
        <v>0</v>
      </c>
      <c r="S56" s="26">
        <v>0</v>
      </c>
      <c r="T56" s="26">
        <v>805.86</v>
      </c>
      <c r="U56" s="28" t="s">
        <v>115</v>
      </c>
      <c r="V56" s="26"/>
      <c r="W56" s="26">
        <v>0</v>
      </c>
      <c r="X56" s="26">
        <v>0</v>
      </c>
      <c r="Y56" s="26">
        <v>3.6629999999999998</v>
      </c>
      <c r="Z56" s="28" t="s">
        <v>116</v>
      </c>
      <c r="AA56" s="28" t="s">
        <v>117</v>
      </c>
      <c r="AB56" s="26"/>
      <c r="AC56" s="28" t="s">
        <v>118</v>
      </c>
      <c r="AD56" s="28" t="s">
        <v>217</v>
      </c>
      <c r="AE56" s="28" t="s">
        <v>217</v>
      </c>
    </row>
    <row r="57" spans="1:31">
      <c r="A57" s="27">
        <v>45784</v>
      </c>
      <c r="B57" s="27">
        <v>45784</v>
      </c>
      <c r="C57" s="27">
        <v>45784</v>
      </c>
      <c r="D57" s="28" t="s">
        <v>159</v>
      </c>
      <c r="E57" s="28" t="s">
        <v>111</v>
      </c>
      <c r="F57" s="28" t="s">
        <v>349</v>
      </c>
      <c r="G57" s="28" t="s">
        <v>359</v>
      </c>
      <c r="H57" s="28" t="s">
        <v>113</v>
      </c>
      <c r="I57" s="28" t="s">
        <v>351</v>
      </c>
      <c r="J57" s="28" t="s">
        <v>352</v>
      </c>
      <c r="K57" s="28" t="s">
        <v>353</v>
      </c>
      <c r="L57" s="28" t="s">
        <v>114</v>
      </c>
      <c r="M57" s="26">
        <v>33.74</v>
      </c>
      <c r="N57" s="26">
        <v>28.59</v>
      </c>
      <c r="O57" s="26">
        <v>0</v>
      </c>
      <c r="P57" s="26">
        <v>0</v>
      </c>
      <c r="Q57" s="26">
        <v>0</v>
      </c>
      <c r="R57" s="26">
        <v>5.15</v>
      </c>
      <c r="S57" s="26">
        <v>0</v>
      </c>
      <c r="T57" s="26">
        <v>33.74</v>
      </c>
      <c r="U57" s="28" t="s">
        <v>115</v>
      </c>
      <c r="V57" s="26"/>
      <c r="W57" s="26">
        <v>0</v>
      </c>
      <c r="X57" s="26">
        <v>0</v>
      </c>
      <c r="Y57" s="26">
        <v>3.6629999999999998</v>
      </c>
      <c r="Z57" s="28" t="s">
        <v>116</v>
      </c>
      <c r="AA57" s="28" t="s">
        <v>117</v>
      </c>
      <c r="AB57" s="26"/>
      <c r="AC57" s="28" t="s">
        <v>118</v>
      </c>
      <c r="AD57" s="28" t="s">
        <v>217</v>
      </c>
      <c r="AE57" s="28" t="s">
        <v>217</v>
      </c>
    </row>
    <row r="58" spans="1:31">
      <c r="A58" s="27">
        <v>45784</v>
      </c>
      <c r="B58" s="27">
        <v>45784</v>
      </c>
      <c r="C58" s="27">
        <v>45784</v>
      </c>
      <c r="D58" s="28" t="s">
        <v>160</v>
      </c>
      <c r="E58" s="28" t="s">
        <v>305</v>
      </c>
      <c r="F58" s="28" t="s">
        <v>349</v>
      </c>
      <c r="G58" s="28" t="s">
        <v>360</v>
      </c>
      <c r="H58" s="28" t="s">
        <v>113</v>
      </c>
      <c r="I58" s="28" t="s">
        <v>351</v>
      </c>
      <c r="J58" s="28" t="s">
        <v>352</v>
      </c>
      <c r="K58" s="28" t="s">
        <v>353</v>
      </c>
      <c r="L58" s="28" t="s">
        <v>114</v>
      </c>
      <c r="M58" s="26">
        <v>-30.36</v>
      </c>
      <c r="N58" s="26">
        <v>-25.72</v>
      </c>
      <c r="O58" s="26">
        <v>0</v>
      </c>
      <c r="P58" s="26">
        <v>0</v>
      </c>
      <c r="Q58" s="26">
        <v>0</v>
      </c>
      <c r="R58" s="26">
        <v>-4.6399999999999997</v>
      </c>
      <c r="S58" s="26">
        <v>0</v>
      </c>
      <c r="T58" s="26">
        <v>-30.36</v>
      </c>
      <c r="U58" s="28" t="s">
        <v>115</v>
      </c>
      <c r="V58" s="26"/>
      <c r="W58" s="26">
        <v>0</v>
      </c>
      <c r="X58" s="26">
        <v>0</v>
      </c>
      <c r="Y58" s="26">
        <v>3.6619999999999999</v>
      </c>
      <c r="Z58" s="28" t="s">
        <v>310</v>
      </c>
      <c r="AA58" s="28" t="s">
        <v>361</v>
      </c>
      <c r="AB58" s="28" t="s">
        <v>111</v>
      </c>
      <c r="AC58" s="28" t="s">
        <v>222</v>
      </c>
      <c r="AD58" s="28" t="s">
        <v>217</v>
      </c>
      <c r="AE58" s="28" t="s">
        <v>217</v>
      </c>
    </row>
    <row r="59" spans="1:31">
      <c r="A59" s="27">
        <v>45784</v>
      </c>
      <c r="B59" s="27">
        <v>45784</v>
      </c>
      <c r="C59" s="27">
        <v>45784</v>
      </c>
      <c r="D59" s="28" t="s">
        <v>161</v>
      </c>
      <c r="E59" s="28" t="s">
        <v>305</v>
      </c>
      <c r="F59" s="28" t="s">
        <v>349</v>
      </c>
      <c r="G59" s="28" t="s">
        <v>362</v>
      </c>
      <c r="H59" s="28" t="s">
        <v>113</v>
      </c>
      <c r="I59" s="28" t="s">
        <v>351</v>
      </c>
      <c r="J59" s="28" t="s">
        <v>352</v>
      </c>
      <c r="K59" s="28" t="s">
        <v>353</v>
      </c>
      <c r="L59" s="28" t="s">
        <v>114</v>
      </c>
      <c r="M59" s="26">
        <v>-5.55</v>
      </c>
      <c r="N59" s="26">
        <v>-4.7</v>
      </c>
      <c r="O59" s="26">
        <v>0</v>
      </c>
      <c r="P59" s="26">
        <v>0</v>
      </c>
      <c r="Q59" s="26">
        <v>0</v>
      </c>
      <c r="R59" s="26">
        <v>-0.85</v>
      </c>
      <c r="S59" s="26">
        <v>0</v>
      </c>
      <c r="T59" s="26">
        <v>-5.55</v>
      </c>
      <c r="U59" s="28" t="s">
        <v>115</v>
      </c>
      <c r="V59" s="26"/>
      <c r="W59" s="26">
        <v>0</v>
      </c>
      <c r="X59" s="26">
        <v>0</v>
      </c>
      <c r="Y59" s="26">
        <v>3.6619999999999999</v>
      </c>
      <c r="Z59" s="28" t="s">
        <v>310</v>
      </c>
      <c r="AA59" s="28" t="s">
        <v>363</v>
      </c>
      <c r="AB59" s="28" t="s">
        <v>111</v>
      </c>
      <c r="AC59" s="28" t="s">
        <v>222</v>
      </c>
      <c r="AD59" s="28" t="s">
        <v>217</v>
      </c>
      <c r="AE59" s="28" t="s">
        <v>217</v>
      </c>
    </row>
    <row r="60" spans="1:31">
      <c r="A60" s="27">
        <v>45784</v>
      </c>
      <c r="B60" s="27">
        <v>45784</v>
      </c>
      <c r="C60" s="27">
        <v>45784</v>
      </c>
      <c r="D60" s="28" t="s">
        <v>162</v>
      </c>
      <c r="E60" s="28" t="s">
        <v>111</v>
      </c>
      <c r="F60" s="28" t="s">
        <v>134</v>
      </c>
      <c r="G60" s="28" t="s">
        <v>364</v>
      </c>
      <c r="H60" s="28" t="s">
        <v>113</v>
      </c>
      <c r="I60" s="28" t="s">
        <v>135</v>
      </c>
      <c r="J60" s="28" t="s">
        <v>136</v>
      </c>
      <c r="K60" s="28" t="s">
        <v>137</v>
      </c>
      <c r="L60" s="28" t="s">
        <v>114</v>
      </c>
      <c r="M60" s="26">
        <v>105.6</v>
      </c>
      <c r="N60" s="26">
        <v>0</v>
      </c>
      <c r="O60" s="26">
        <v>0</v>
      </c>
      <c r="P60" s="26">
        <v>105.6</v>
      </c>
      <c r="Q60" s="26">
        <v>0</v>
      </c>
      <c r="R60" s="26">
        <v>0</v>
      </c>
      <c r="S60" s="26">
        <v>0</v>
      </c>
      <c r="T60" s="26">
        <v>105.6</v>
      </c>
      <c r="U60" s="28" t="s">
        <v>115</v>
      </c>
      <c r="V60" s="26"/>
      <c r="W60" s="26">
        <v>0</v>
      </c>
      <c r="X60" s="26">
        <v>0</v>
      </c>
      <c r="Y60" s="26">
        <v>3.6629999999999998</v>
      </c>
      <c r="Z60" s="28" t="s">
        <v>116</v>
      </c>
      <c r="AA60" s="28" t="s">
        <v>117</v>
      </c>
      <c r="AB60" s="26"/>
      <c r="AC60" s="28" t="s">
        <v>118</v>
      </c>
      <c r="AD60" s="28" t="s">
        <v>217</v>
      </c>
      <c r="AE60" s="28" t="s">
        <v>217</v>
      </c>
    </row>
    <row r="61" spans="1:31">
      <c r="A61" s="27">
        <v>45784</v>
      </c>
      <c r="B61" s="27">
        <v>45784</v>
      </c>
      <c r="C61" s="27">
        <v>45784</v>
      </c>
      <c r="D61" s="28" t="s">
        <v>552</v>
      </c>
      <c r="E61" s="28" t="s">
        <v>111</v>
      </c>
      <c r="F61" s="28" t="s">
        <v>77</v>
      </c>
      <c r="G61" s="28" t="s">
        <v>553</v>
      </c>
      <c r="H61" s="28" t="s">
        <v>113</v>
      </c>
      <c r="I61" s="28" t="s">
        <v>554</v>
      </c>
      <c r="J61" s="28" t="s">
        <v>555</v>
      </c>
      <c r="K61" s="28" t="s">
        <v>556</v>
      </c>
      <c r="L61" s="28" t="s">
        <v>114</v>
      </c>
      <c r="M61" s="26">
        <v>315</v>
      </c>
      <c r="N61" s="26">
        <v>266.95</v>
      </c>
      <c r="O61" s="26">
        <v>0</v>
      </c>
      <c r="P61" s="26">
        <v>0</v>
      </c>
      <c r="Q61" s="26">
        <v>0</v>
      </c>
      <c r="R61" s="26">
        <v>48.05</v>
      </c>
      <c r="S61" s="26">
        <v>0</v>
      </c>
      <c r="T61" s="26">
        <v>315</v>
      </c>
      <c r="U61" s="28" t="s">
        <v>115</v>
      </c>
      <c r="V61" s="26"/>
      <c r="W61" s="26">
        <v>0</v>
      </c>
      <c r="X61" s="26">
        <v>0</v>
      </c>
      <c r="Y61" s="26">
        <v>3.6629999999999998</v>
      </c>
      <c r="Z61" s="28" t="s">
        <v>116</v>
      </c>
      <c r="AA61" s="28" t="s">
        <v>117</v>
      </c>
      <c r="AB61" s="26"/>
      <c r="AC61" s="28" t="s">
        <v>118</v>
      </c>
      <c r="AD61" s="28" t="s">
        <v>217</v>
      </c>
      <c r="AE61" s="28" t="s">
        <v>217</v>
      </c>
    </row>
    <row r="62" spans="1:31">
      <c r="A62" s="27">
        <v>45784</v>
      </c>
      <c r="B62" s="27">
        <v>45784</v>
      </c>
      <c r="C62" s="27">
        <v>45784</v>
      </c>
      <c r="D62" s="28" t="s">
        <v>557</v>
      </c>
      <c r="E62" s="28" t="s">
        <v>111</v>
      </c>
      <c r="F62" s="28" t="s">
        <v>558</v>
      </c>
      <c r="G62" s="28" t="s">
        <v>559</v>
      </c>
      <c r="H62" s="28" t="s">
        <v>113</v>
      </c>
      <c r="I62" s="28" t="s">
        <v>140</v>
      </c>
      <c r="J62" s="28" t="s">
        <v>141</v>
      </c>
      <c r="K62" s="28" t="s">
        <v>142</v>
      </c>
      <c r="L62" s="28" t="s">
        <v>114</v>
      </c>
      <c r="M62" s="26">
        <v>3.5</v>
      </c>
      <c r="N62" s="26">
        <v>0</v>
      </c>
      <c r="O62" s="26">
        <v>0</v>
      </c>
      <c r="P62" s="26">
        <v>3.5</v>
      </c>
      <c r="Q62" s="26">
        <v>0</v>
      </c>
      <c r="R62" s="26">
        <v>0</v>
      </c>
      <c r="S62" s="26">
        <v>0</v>
      </c>
      <c r="T62" s="26">
        <v>3.5</v>
      </c>
      <c r="U62" s="28" t="s">
        <v>115</v>
      </c>
      <c r="V62" s="26"/>
      <c r="W62" s="26">
        <v>0</v>
      </c>
      <c r="X62" s="26">
        <v>0</v>
      </c>
      <c r="Y62" s="26">
        <v>3.6629999999999998</v>
      </c>
      <c r="Z62" s="28" t="s">
        <v>116</v>
      </c>
      <c r="AA62" s="28" t="s">
        <v>117</v>
      </c>
      <c r="AB62" s="26"/>
      <c r="AC62" s="28" t="s">
        <v>118</v>
      </c>
      <c r="AD62" s="28" t="s">
        <v>217</v>
      </c>
      <c r="AE62" s="28" t="s">
        <v>217</v>
      </c>
    </row>
    <row r="63" spans="1:31">
      <c r="A63" s="27">
        <v>45785</v>
      </c>
      <c r="B63" s="27">
        <v>45785</v>
      </c>
      <c r="C63" s="27">
        <v>45785</v>
      </c>
      <c r="D63" s="28" t="s">
        <v>163</v>
      </c>
      <c r="E63" s="28" t="s">
        <v>111</v>
      </c>
      <c r="F63" s="28" t="s">
        <v>134</v>
      </c>
      <c r="G63" s="28" t="s">
        <v>365</v>
      </c>
      <c r="H63" s="28" t="s">
        <v>113</v>
      </c>
      <c r="I63" s="28" t="s">
        <v>135</v>
      </c>
      <c r="J63" s="28" t="s">
        <v>136</v>
      </c>
      <c r="K63" s="28" t="s">
        <v>137</v>
      </c>
      <c r="L63" s="28" t="s">
        <v>114</v>
      </c>
      <c r="M63" s="26">
        <v>106.9</v>
      </c>
      <c r="N63" s="26">
        <v>0</v>
      </c>
      <c r="O63" s="26">
        <v>0</v>
      </c>
      <c r="P63" s="26">
        <v>106.9</v>
      </c>
      <c r="Q63" s="26">
        <v>0</v>
      </c>
      <c r="R63" s="26">
        <v>0</v>
      </c>
      <c r="S63" s="26">
        <v>0</v>
      </c>
      <c r="T63" s="26">
        <v>106.9</v>
      </c>
      <c r="U63" s="28" t="s">
        <v>115</v>
      </c>
      <c r="V63" s="26"/>
      <c r="W63" s="26">
        <v>0</v>
      </c>
      <c r="X63" s="26">
        <v>0</v>
      </c>
      <c r="Y63" s="26">
        <v>3.6579999999999999</v>
      </c>
      <c r="Z63" s="28" t="s">
        <v>116</v>
      </c>
      <c r="AA63" s="28" t="s">
        <v>117</v>
      </c>
      <c r="AB63" s="26"/>
      <c r="AC63" s="28" t="s">
        <v>118</v>
      </c>
      <c r="AD63" s="28" t="s">
        <v>218</v>
      </c>
      <c r="AE63" s="28" t="s">
        <v>218</v>
      </c>
    </row>
    <row r="64" spans="1:31">
      <c r="A64" s="27">
        <v>45786</v>
      </c>
      <c r="B64" s="27">
        <v>45786</v>
      </c>
      <c r="C64" s="27">
        <v>45786</v>
      </c>
      <c r="D64" s="28" t="s">
        <v>560</v>
      </c>
      <c r="E64" s="28" t="s">
        <v>111</v>
      </c>
      <c r="F64" s="28" t="s">
        <v>77</v>
      </c>
      <c r="G64" s="28" t="s">
        <v>561</v>
      </c>
      <c r="H64" s="28" t="s">
        <v>113</v>
      </c>
      <c r="I64" s="28" t="s">
        <v>562</v>
      </c>
      <c r="J64" s="28" t="s">
        <v>563</v>
      </c>
      <c r="K64" s="28" t="s">
        <v>564</v>
      </c>
      <c r="L64" s="28" t="s">
        <v>114</v>
      </c>
      <c r="M64" s="26">
        <v>50.95</v>
      </c>
      <c r="N64" s="26">
        <v>43.18</v>
      </c>
      <c r="O64" s="26">
        <v>0</v>
      </c>
      <c r="P64" s="26">
        <v>0</v>
      </c>
      <c r="Q64" s="26">
        <v>0</v>
      </c>
      <c r="R64" s="26">
        <v>7.77</v>
      </c>
      <c r="S64" s="26">
        <v>0</v>
      </c>
      <c r="T64" s="26">
        <v>50.95</v>
      </c>
      <c r="U64" s="28" t="s">
        <v>115</v>
      </c>
      <c r="V64" s="26"/>
      <c r="W64" s="26">
        <v>0</v>
      </c>
      <c r="X64" s="26">
        <v>0</v>
      </c>
      <c r="Y64" s="26">
        <v>3.6459999999999999</v>
      </c>
      <c r="Z64" s="28" t="s">
        <v>116</v>
      </c>
      <c r="AA64" s="28" t="s">
        <v>117</v>
      </c>
      <c r="AB64" s="26"/>
      <c r="AC64" s="28" t="s">
        <v>118</v>
      </c>
      <c r="AD64" s="28" t="s">
        <v>565</v>
      </c>
      <c r="AE64" s="28" t="s">
        <v>565</v>
      </c>
    </row>
    <row r="65" spans="1:31">
      <c r="A65" s="27">
        <v>45786</v>
      </c>
      <c r="B65" s="27">
        <v>45786</v>
      </c>
      <c r="C65" s="27">
        <v>45786</v>
      </c>
      <c r="D65" s="28" t="s">
        <v>566</v>
      </c>
      <c r="E65" s="28" t="s">
        <v>111</v>
      </c>
      <c r="F65" s="28" t="s">
        <v>134</v>
      </c>
      <c r="G65" s="28" t="s">
        <v>567</v>
      </c>
      <c r="H65" s="28" t="s">
        <v>113</v>
      </c>
      <c r="I65" s="28" t="s">
        <v>135</v>
      </c>
      <c r="J65" s="28" t="s">
        <v>136</v>
      </c>
      <c r="K65" s="28" t="s">
        <v>137</v>
      </c>
      <c r="L65" s="28" t="s">
        <v>114</v>
      </c>
      <c r="M65" s="26">
        <v>99.7</v>
      </c>
      <c r="N65" s="26">
        <v>0</v>
      </c>
      <c r="O65" s="26">
        <v>0</v>
      </c>
      <c r="P65" s="26">
        <v>99.7</v>
      </c>
      <c r="Q65" s="26">
        <v>0</v>
      </c>
      <c r="R65" s="26">
        <v>0</v>
      </c>
      <c r="S65" s="26">
        <v>0</v>
      </c>
      <c r="T65" s="26">
        <v>99.7</v>
      </c>
      <c r="U65" s="28" t="s">
        <v>115</v>
      </c>
      <c r="V65" s="26"/>
      <c r="W65" s="26">
        <v>0</v>
      </c>
      <c r="X65" s="26">
        <v>0</v>
      </c>
      <c r="Y65" s="26">
        <v>3.6459999999999999</v>
      </c>
      <c r="Z65" s="28" t="s">
        <v>116</v>
      </c>
      <c r="AA65" s="28" t="s">
        <v>117</v>
      </c>
      <c r="AB65" s="26"/>
      <c r="AC65" s="28" t="s">
        <v>118</v>
      </c>
      <c r="AD65" s="28" t="s">
        <v>565</v>
      </c>
      <c r="AE65" s="28" t="s">
        <v>565</v>
      </c>
    </row>
    <row r="66" spans="1:31">
      <c r="A66" s="27">
        <v>45786</v>
      </c>
      <c r="B66" s="27">
        <v>45801</v>
      </c>
      <c r="C66" s="27">
        <v>45786</v>
      </c>
      <c r="D66" s="28" t="s">
        <v>568</v>
      </c>
      <c r="E66" s="28" t="s">
        <v>505</v>
      </c>
      <c r="F66" s="28" t="s">
        <v>569</v>
      </c>
      <c r="G66" s="28" t="s">
        <v>570</v>
      </c>
      <c r="H66" s="28" t="s">
        <v>113</v>
      </c>
      <c r="I66" s="28" t="s">
        <v>571</v>
      </c>
      <c r="J66" s="28" t="s">
        <v>572</v>
      </c>
      <c r="K66" s="28" t="s">
        <v>573</v>
      </c>
      <c r="L66" s="28" t="s">
        <v>114</v>
      </c>
      <c r="M66" s="26">
        <v>5.17</v>
      </c>
      <c r="N66" s="26">
        <v>4.38</v>
      </c>
      <c r="O66" s="26">
        <v>0</v>
      </c>
      <c r="P66" s="26">
        <v>0</v>
      </c>
      <c r="Q66" s="26">
        <v>0</v>
      </c>
      <c r="R66" s="26">
        <v>0.79</v>
      </c>
      <c r="S66" s="26">
        <v>0</v>
      </c>
      <c r="T66" s="26">
        <v>5.17</v>
      </c>
      <c r="U66" s="28" t="s">
        <v>115</v>
      </c>
      <c r="V66" s="26"/>
      <c r="W66" s="26">
        <v>0</v>
      </c>
      <c r="X66" s="26">
        <v>0</v>
      </c>
      <c r="Y66" s="26">
        <v>3.665</v>
      </c>
      <c r="Z66" s="28" t="s">
        <v>116</v>
      </c>
      <c r="AA66" s="28" t="s">
        <v>117</v>
      </c>
      <c r="AB66" s="26"/>
      <c r="AC66" s="28" t="s">
        <v>118</v>
      </c>
      <c r="AD66" s="28" t="s">
        <v>565</v>
      </c>
      <c r="AE66" s="28" t="s">
        <v>565</v>
      </c>
    </row>
    <row r="67" spans="1:31">
      <c r="A67" s="27">
        <v>45788</v>
      </c>
      <c r="B67" s="27">
        <v>45788</v>
      </c>
      <c r="C67" s="27">
        <v>45788</v>
      </c>
      <c r="D67" s="28" t="s">
        <v>574</v>
      </c>
      <c r="E67" s="28" t="s">
        <v>111</v>
      </c>
      <c r="F67" s="28" t="s">
        <v>575</v>
      </c>
      <c r="G67" s="28" t="s">
        <v>899</v>
      </c>
      <c r="H67" s="28" t="s">
        <v>113</v>
      </c>
      <c r="I67" s="28" t="s">
        <v>135</v>
      </c>
      <c r="J67" s="28" t="s">
        <v>136</v>
      </c>
      <c r="K67" s="28" t="s">
        <v>137</v>
      </c>
      <c r="L67" s="28" t="s">
        <v>125</v>
      </c>
      <c r="M67" s="26">
        <v>22.5</v>
      </c>
      <c r="N67" s="26">
        <v>0</v>
      </c>
      <c r="O67" s="26">
        <v>0</v>
      </c>
      <c r="P67" s="26">
        <v>82.01</v>
      </c>
      <c r="Q67" s="26">
        <v>0</v>
      </c>
      <c r="R67" s="26">
        <v>0</v>
      </c>
      <c r="S67" s="26">
        <v>0</v>
      </c>
      <c r="T67" s="26">
        <v>82.01</v>
      </c>
      <c r="U67" s="28" t="s">
        <v>115</v>
      </c>
      <c r="V67" s="26"/>
      <c r="W67" s="26">
        <v>0</v>
      </c>
      <c r="X67" s="26">
        <v>0</v>
      </c>
      <c r="Y67" s="26">
        <v>3.645</v>
      </c>
      <c r="Z67" s="28" t="s">
        <v>116</v>
      </c>
      <c r="AA67" s="28" t="s">
        <v>117</v>
      </c>
      <c r="AB67" s="26"/>
      <c r="AC67" s="28" t="s">
        <v>118</v>
      </c>
      <c r="AD67" s="28" t="s">
        <v>576</v>
      </c>
      <c r="AE67" s="28" t="s">
        <v>576</v>
      </c>
    </row>
    <row r="68" spans="1:31">
      <c r="A68" s="27">
        <v>45788</v>
      </c>
      <c r="B68" s="27">
        <v>45788</v>
      </c>
      <c r="C68" s="27">
        <v>45788</v>
      </c>
      <c r="D68" s="28" t="s">
        <v>577</v>
      </c>
      <c r="E68" s="28" t="s">
        <v>111</v>
      </c>
      <c r="F68" s="28" t="s">
        <v>578</v>
      </c>
      <c r="G68" s="28" t="s">
        <v>579</v>
      </c>
      <c r="H68" s="28" t="s">
        <v>113</v>
      </c>
      <c r="I68" s="28" t="s">
        <v>135</v>
      </c>
      <c r="J68" s="28" t="s">
        <v>136</v>
      </c>
      <c r="K68" s="28" t="s">
        <v>137</v>
      </c>
      <c r="L68" s="28" t="s">
        <v>114</v>
      </c>
      <c r="M68" s="26">
        <v>18.5</v>
      </c>
      <c r="N68" s="26">
        <v>0</v>
      </c>
      <c r="O68" s="26">
        <v>0</v>
      </c>
      <c r="P68" s="26">
        <v>18.5</v>
      </c>
      <c r="Q68" s="26">
        <v>0</v>
      </c>
      <c r="R68" s="26">
        <v>0</v>
      </c>
      <c r="S68" s="26">
        <v>0</v>
      </c>
      <c r="T68" s="26">
        <v>18.5</v>
      </c>
      <c r="U68" s="28" t="s">
        <v>115</v>
      </c>
      <c r="V68" s="26"/>
      <c r="W68" s="26">
        <v>0</v>
      </c>
      <c r="X68" s="26">
        <v>0</v>
      </c>
      <c r="Y68" s="26">
        <v>3.645</v>
      </c>
      <c r="Z68" s="28" t="s">
        <v>116</v>
      </c>
      <c r="AA68" s="28" t="s">
        <v>117</v>
      </c>
      <c r="AB68" s="26"/>
      <c r="AC68" s="28" t="s">
        <v>118</v>
      </c>
      <c r="AD68" s="28" t="s">
        <v>576</v>
      </c>
      <c r="AE68" s="28" t="s">
        <v>576</v>
      </c>
    </row>
    <row r="69" spans="1:31">
      <c r="A69" s="27">
        <v>45788</v>
      </c>
      <c r="B69" s="27">
        <v>45788</v>
      </c>
      <c r="C69" s="27">
        <v>45788</v>
      </c>
      <c r="D69" s="28" t="s">
        <v>580</v>
      </c>
      <c r="E69" s="28" t="s">
        <v>111</v>
      </c>
      <c r="F69" s="28" t="s">
        <v>575</v>
      </c>
      <c r="G69" s="28" t="s">
        <v>581</v>
      </c>
      <c r="H69" s="28" t="s">
        <v>113</v>
      </c>
      <c r="I69" s="28" t="s">
        <v>135</v>
      </c>
      <c r="J69" s="28" t="s">
        <v>136</v>
      </c>
      <c r="K69" s="28" t="s">
        <v>137</v>
      </c>
      <c r="L69" s="28" t="s">
        <v>114</v>
      </c>
      <c r="M69" s="26">
        <v>67.5</v>
      </c>
      <c r="N69" s="26">
        <v>0</v>
      </c>
      <c r="O69" s="26">
        <v>0</v>
      </c>
      <c r="P69" s="26">
        <v>67.5</v>
      </c>
      <c r="Q69" s="26">
        <v>0</v>
      </c>
      <c r="R69" s="26">
        <v>0</v>
      </c>
      <c r="S69" s="26">
        <v>0</v>
      </c>
      <c r="T69" s="26">
        <v>67.5</v>
      </c>
      <c r="U69" s="28" t="s">
        <v>115</v>
      </c>
      <c r="V69" s="26"/>
      <c r="W69" s="26">
        <v>0</v>
      </c>
      <c r="X69" s="26">
        <v>0</v>
      </c>
      <c r="Y69" s="26">
        <v>3.645</v>
      </c>
      <c r="Z69" s="28" t="s">
        <v>116</v>
      </c>
      <c r="AA69" s="28" t="s">
        <v>117</v>
      </c>
      <c r="AB69" s="26"/>
      <c r="AC69" s="28" t="s">
        <v>118</v>
      </c>
      <c r="AD69" s="28" t="s">
        <v>576</v>
      </c>
      <c r="AE69" s="28" t="s">
        <v>576</v>
      </c>
    </row>
    <row r="70" spans="1:31">
      <c r="A70" s="27">
        <v>45789</v>
      </c>
      <c r="B70" s="27">
        <v>45789</v>
      </c>
      <c r="C70" s="27">
        <v>45789</v>
      </c>
      <c r="D70" s="28" t="s">
        <v>582</v>
      </c>
      <c r="E70" s="28" t="s">
        <v>111</v>
      </c>
      <c r="F70" s="28" t="s">
        <v>583</v>
      </c>
      <c r="G70" s="28" t="s">
        <v>584</v>
      </c>
      <c r="H70" s="28" t="s">
        <v>113</v>
      </c>
      <c r="I70" s="28" t="s">
        <v>585</v>
      </c>
      <c r="J70" s="28" t="s">
        <v>586</v>
      </c>
      <c r="K70" s="28" t="s">
        <v>587</v>
      </c>
      <c r="L70" s="28" t="s">
        <v>114</v>
      </c>
      <c r="M70" s="26">
        <v>45.16</v>
      </c>
      <c r="N70" s="26">
        <v>38.270000000000003</v>
      </c>
      <c r="O70" s="26">
        <v>0</v>
      </c>
      <c r="P70" s="26">
        <v>0</v>
      </c>
      <c r="Q70" s="26">
        <v>0</v>
      </c>
      <c r="R70" s="26">
        <v>6.89</v>
      </c>
      <c r="S70" s="26">
        <v>0</v>
      </c>
      <c r="T70" s="26">
        <v>45.16</v>
      </c>
      <c r="U70" s="28" t="s">
        <v>115</v>
      </c>
      <c r="V70" s="26"/>
      <c r="W70" s="26">
        <v>0</v>
      </c>
      <c r="X70" s="26">
        <v>0</v>
      </c>
      <c r="Y70" s="26">
        <v>3.645</v>
      </c>
      <c r="Z70" s="28" t="s">
        <v>116</v>
      </c>
      <c r="AA70" s="28" t="s">
        <v>117</v>
      </c>
      <c r="AB70" s="26"/>
      <c r="AC70" s="28" t="s">
        <v>118</v>
      </c>
      <c r="AD70" s="28" t="s">
        <v>270</v>
      </c>
      <c r="AE70" s="28" t="s">
        <v>270</v>
      </c>
    </row>
    <row r="71" spans="1:31">
      <c r="A71" s="27">
        <v>45789</v>
      </c>
      <c r="B71" s="27">
        <v>45789</v>
      </c>
      <c r="C71" s="27">
        <v>45789</v>
      </c>
      <c r="D71" s="28" t="s">
        <v>588</v>
      </c>
      <c r="E71" s="28" t="s">
        <v>111</v>
      </c>
      <c r="F71" s="28" t="s">
        <v>261</v>
      </c>
      <c r="G71" s="28" t="s">
        <v>589</v>
      </c>
      <c r="H71" s="28" t="s">
        <v>113</v>
      </c>
      <c r="I71" s="28" t="s">
        <v>590</v>
      </c>
      <c r="J71" s="28" t="s">
        <v>591</v>
      </c>
      <c r="K71" s="28" t="s">
        <v>592</v>
      </c>
      <c r="L71" s="28" t="s">
        <v>114</v>
      </c>
      <c r="M71" s="26">
        <v>465</v>
      </c>
      <c r="N71" s="26">
        <v>394.07</v>
      </c>
      <c r="O71" s="26">
        <v>0</v>
      </c>
      <c r="P71" s="26">
        <v>0</v>
      </c>
      <c r="Q71" s="26">
        <v>0</v>
      </c>
      <c r="R71" s="26">
        <v>70.930000000000007</v>
      </c>
      <c r="S71" s="26">
        <v>0</v>
      </c>
      <c r="T71" s="26">
        <v>465</v>
      </c>
      <c r="U71" s="28" t="s">
        <v>115</v>
      </c>
      <c r="V71" s="26"/>
      <c r="W71" s="26">
        <v>0</v>
      </c>
      <c r="X71" s="26">
        <v>0</v>
      </c>
      <c r="Y71" s="26">
        <v>3.645</v>
      </c>
      <c r="Z71" s="28" t="s">
        <v>116</v>
      </c>
      <c r="AA71" s="28" t="s">
        <v>117</v>
      </c>
      <c r="AB71" s="26"/>
      <c r="AC71" s="28" t="s">
        <v>118</v>
      </c>
      <c r="AD71" s="28" t="s">
        <v>270</v>
      </c>
      <c r="AE71" s="28" t="s">
        <v>270</v>
      </c>
    </row>
    <row r="72" spans="1:31">
      <c r="A72" s="27">
        <v>45789</v>
      </c>
      <c r="B72" s="27">
        <v>45789</v>
      </c>
      <c r="C72" s="27">
        <v>45789</v>
      </c>
      <c r="D72" s="28" t="s">
        <v>593</v>
      </c>
      <c r="E72" s="28" t="s">
        <v>111</v>
      </c>
      <c r="F72" s="28" t="s">
        <v>583</v>
      </c>
      <c r="G72" s="28" t="s">
        <v>594</v>
      </c>
      <c r="H72" s="28" t="s">
        <v>113</v>
      </c>
      <c r="I72" s="28" t="s">
        <v>585</v>
      </c>
      <c r="J72" s="28" t="s">
        <v>586</v>
      </c>
      <c r="K72" s="28" t="s">
        <v>587</v>
      </c>
      <c r="L72" s="28" t="s">
        <v>114</v>
      </c>
      <c r="M72" s="26">
        <v>45.16</v>
      </c>
      <c r="N72" s="26">
        <v>38.270000000000003</v>
      </c>
      <c r="O72" s="26">
        <v>0</v>
      </c>
      <c r="P72" s="26">
        <v>0</v>
      </c>
      <c r="Q72" s="26">
        <v>0</v>
      </c>
      <c r="R72" s="26">
        <v>6.89</v>
      </c>
      <c r="S72" s="26">
        <v>0</v>
      </c>
      <c r="T72" s="26">
        <v>45.16</v>
      </c>
      <c r="U72" s="28" t="s">
        <v>115</v>
      </c>
      <c r="V72" s="26"/>
      <c r="W72" s="26">
        <v>0</v>
      </c>
      <c r="X72" s="26">
        <v>0</v>
      </c>
      <c r="Y72" s="26">
        <v>3.645</v>
      </c>
      <c r="Z72" s="28" t="s">
        <v>116</v>
      </c>
      <c r="AA72" s="28" t="s">
        <v>117</v>
      </c>
      <c r="AB72" s="26"/>
      <c r="AC72" s="28" t="s">
        <v>118</v>
      </c>
      <c r="AD72" s="28" t="s">
        <v>270</v>
      </c>
      <c r="AE72" s="28" t="s">
        <v>270</v>
      </c>
    </row>
    <row r="73" spans="1:31">
      <c r="A73" s="27">
        <v>45789</v>
      </c>
      <c r="B73" s="27">
        <v>45789</v>
      </c>
      <c r="C73" s="27">
        <v>45789</v>
      </c>
      <c r="D73" s="28" t="s">
        <v>595</v>
      </c>
      <c r="E73" s="28" t="s">
        <v>111</v>
      </c>
      <c r="F73" s="28" t="s">
        <v>558</v>
      </c>
      <c r="G73" s="28" t="s">
        <v>596</v>
      </c>
      <c r="H73" s="28" t="s">
        <v>113</v>
      </c>
      <c r="I73" s="28" t="s">
        <v>140</v>
      </c>
      <c r="J73" s="28" t="s">
        <v>141</v>
      </c>
      <c r="K73" s="28" t="s">
        <v>142</v>
      </c>
      <c r="L73" s="28" t="s">
        <v>114</v>
      </c>
      <c r="M73" s="26">
        <v>3.5</v>
      </c>
      <c r="N73" s="26">
        <v>0</v>
      </c>
      <c r="O73" s="26">
        <v>0</v>
      </c>
      <c r="P73" s="26">
        <v>3.5</v>
      </c>
      <c r="Q73" s="26">
        <v>0</v>
      </c>
      <c r="R73" s="26">
        <v>0</v>
      </c>
      <c r="S73" s="26">
        <v>0</v>
      </c>
      <c r="T73" s="26">
        <v>3.5</v>
      </c>
      <c r="U73" s="28" t="s">
        <v>115</v>
      </c>
      <c r="V73" s="26"/>
      <c r="W73" s="26">
        <v>0</v>
      </c>
      <c r="X73" s="26">
        <v>0</v>
      </c>
      <c r="Y73" s="26">
        <v>3.645</v>
      </c>
      <c r="Z73" s="28" t="s">
        <v>116</v>
      </c>
      <c r="AA73" s="28" t="s">
        <v>117</v>
      </c>
      <c r="AB73" s="26"/>
      <c r="AC73" s="28" t="s">
        <v>118</v>
      </c>
      <c r="AD73" s="28" t="s">
        <v>270</v>
      </c>
      <c r="AE73" s="28" t="s">
        <v>270</v>
      </c>
    </row>
    <row r="74" spans="1:31">
      <c r="A74" s="27">
        <v>45789</v>
      </c>
      <c r="B74" s="27">
        <v>45789</v>
      </c>
      <c r="C74" s="27">
        <v>45789</v>
      </c>
      <c r="D74" s="28" t="s">
        <v>597</v>
      </c>
      <c r="E74" s="28" t="s">
        <v>111</v>
      </c>
      <c r="F74" s="28" t="s">
        <v>134</v>
      </c>
      <c r="G74" s="28" t="s">
        <v>598</v>
      </c>
      <c r="H74" s="28" t="s">
        <v>113</v>
      </c>
      <c r="I74" s="28" t="s">
        <v>135</v>
      </c>
      <c r="J74" s="28" t="s">
        <v>136</v>
      </c>
      <c r="K74" s="28" t="s">
        <v>137</v>
      </c>
      <c r="L74" s="28" t="s">
        <v>114</v>
      </c>
      <c r="M74" s="26">
        <v>72.900000000000006</v>
      </c>
      <c r="N74" s="26">
        <v>0</v>
      </c>
      <c r="O74" s="26">
        <v>0</v>
      </c>
      <c r="P74" s="26">
        <v>72.900000000000006</v>
      </c>
      <c r="Q74" s="26">
        <v>0</v>
      </c>
      <c r="R74" s="26">
        <v>0</v>
      </c>
      <c r="S74" s="26">
        <v>0</v>
      </c>
      <c r="T74" s="26">
        <v>72.900000000000006</v>
      </c>
      <c r="U74" s="28" t="s">
        <v>115</v>
      </c>
      <c r="V74" s="26"/>
      <c r="W74" s="26">
        <v>0</v>
      </c>
      <c r="X74" s="26">
        <v>0</v>
      </c>
      <c r="Y74" s="26">
        <v>3.645</v>
      </c>
      <c r="Z74" s="28" t="s">
        <v>116</v>
      </c>
      <c r="AA74" s="28" t="s">
        <v>117</v>
      </c>
      <c r="AB74" s="26"/>
      <c r="AC74" s="28" t="s">
        <v>118</v>
      </c>
      <c r="AD74" s="28" t="s">
        <v>270</v>
      </c>
      <c r="AE74" s="28" t="s">
        <v>270</v>
      </c>
    </row>
    <row r="75" spans="1:31">
      <c r="A75" s="27">
        <v>45790</v>
      </c>
      <c r="B75" s="27">
        <v>45790</v>
      </c>
      <c r="C75" s="27">
        <v>45790</v>
      </c>
      <c r="D75" s="28" t="s">
        <v>599</v>
      </c>
      <c r="E75" s="28" t="s">
        <v>111</v>
      </c>
      <c r="F75" s="28" t="s">
        <v>134</v>
      </c>
      <c r="G75" s="28" t="s">
        <v>600</v>
      </c>
      <c r="H75" s="28" t="s">
        <v>113</v>
      </c>
      <c r="I75" s="28" t="s">
        <v>135</v>
      </c>
      <c r="J75" s="28" t="s">
        <v>136</v>
      </c>
      <c r="K75" s="28" t="s">
        <v>137</v>
      </c>
      <c r="L75" s="28" t="s">
        <v>114</v>
      </c>
      <c r="M75" s="26">
        <v>49.4</v>
      </c>
      <c r="N75" s="26">
        <v>0</v>
      </c>
      <c r="O75" s="26">
        <v>0</v>
      </c>
      <c r="P75" s="26">
        <v>49.4</v>
      </c>
      <c r="Q75" s="26">
        <v>0</v>
      </c>
      <c r="R75" s="26">
        <v>0</v>
      </c>
      <c r="S75" s="26">
        <v>0</v>
      </c>
      <c r="T75" s="26">
        <v>49.4</v>
      </c>
      <c r="U75" s="28" t="s">
        <v>115</v>
      </c>
      <c r="V75" s="26"/>
      <c r="W75" s="26">
        <v>0</v>
      </c>
      <c r="X75" s="26">
        <v>0</v>
      </c>
      <c r="Y75" s="26">
        <v>3.6619999999999999</v>
      </c>
      <c r="Z75" s="28" t="s">
        <v>116</v>
      </c>
      <c r="AA75" s="28" t="s">
        <v>117</v>
      </c>
      <c r="AB75" s="26"/>
      <c r="AC75" s="28" t="s">
        <v>118</v>
      </c>
      <c r="AD75" s="28" t="s">
        <v>209</v>
      </c>
      <c r="AE75" s="28" t="s">
        <v>209</v>
      </c>
    </row>
    <row r="76" spans="1:31">
      <c r="A76" s="27">
        <v>45790</v>
      </c>
      <c r="B76" s="27">
        <v>45790</v>
      </c>
      <c r="C76" s="27">
        <v>45790</v>
      </c>
      <c r="D76" s="28" t="s">
        <v>601</v>
      </c>
      <c r="E76" s="28" t="s">
        <v>111</v>
      </c>
      <c r="F76" s="28" t="s">
        <v>134</v>
      </c>
      <c r="G76" s="28" t="s">
        <v>602</v>
      </c>
      <c r="H76" s="28" t="s">
        <v>113</v>
      </c>
      <c r="I76" s="28" t="s">
        <v>135</v>
      </c>
      <c r="J76" s="28" t="s">
        <v>136</v>
      </c>
      <c r="K76" s="28" t="s">
        <v>137</v>
      </c>
      <c r="L76" s="28" t="s">
        <v>114</v>
      </c>
      <c r="M76" s="26">
        <v>82.7</v>
      </c>
      <c r="N76" s="26">
        <v>0</v>
      </c>
      <c r="O76" s="26">
        <v>0</v>
      </c>
      <c r="P76" s="26">
        <v>82.7</v>
      </c>
      <c r="Q76" s="26">
        <v>0</v>
      </c>
      <c r="R76" s="26">
        <v>0</v>
      </c>
      <c r="S76" s="26">
        <v>0</v>
      </c>
      <c r="T76" s="26">
        <v>82.7</v>
      </c>
      <c r="U76" s="28" t="s">
        <v>115</v>
      </c>
      <c r="V76" s="26"/>
      <c r="W76" s="26">
        <v>0</v>
      </c>
      <c r="X76" s="26">
        <v>0</v>
      </c>
      <c r="Y76" s="26">
        <v>3.6619999999999999</v>
      </c>
      <c r="Z76" s="28" t="s">
        <v>116</v>
      </c>
      <c r="AA76" s="28" t="s">
        <v>117</v>
      </c>
      <c r="AB76" s="26"/>
      <c r="AC76" s="28" t="s">
        <v>118</v>
      </c>
      <c r="AD76" s="28" t="s">
        <v>209</v>
      </c>
      <c r="AE76" s="28" t="s">
        <v>209</v>
      </c>
    </row>
    <row r="77" spans="1:31">
      <c r="A77" s="27">
        <v>45791</v>
      </c>
      <c r="B77" s="27">
        <v>45791</v>
      </c>
      <c r="C77" s="27">
        <v>45791</v>
      </c>
      <c r="D77" s="28" t="s">
        <v>164</v>
      </c>
      <c r="E77" s="28" t="s">
        <v>111</v>
      </c>
      <c r="F77" s="28" t="s">
        <v>124</v>
      </c>
      <c r="G77" s="28" t="s">
        <v>366</v>
      </c>
      <c r="H77" s="28" t="s">
        <v>113</v>
      </c>
      <c r="I77" s="28" t="s">
        <v>367</v>
      </c>
      <c r="J77" s="28" t="s">
        <v>368</v>
      </c>
      <c r="K77" s="28" t="s">
        <v>369</v>
      </c>
      <c r="L77" s="28" t="s">
        <v>114</v>
      </c>
      <c r="M77" s="26">
        <v>78</v>
      </c>
      <c r="N77" s="26">
        <v>70.91</v>
      </c>
      <c r="O77" s="26">
        <v>0</v>
      </c>
      <c r="P77" s="26">
        <v>0</v>
      </c>
      <c r="Q77" s="26">
        <v>0</v>
      </c>
      <c r="R77" s="26">
        <v>7.09</v>
      </c>
      <c r="S77" s="26">
        <v>0</v>
      </c>
      <c r="T77" s="26">
        <v>78</v>
      </c>
      <c r="U77" s="28" t="s">
        <v>115</v>
      </c>
      <c r="V77" s="26"/>
      <c r="W77" s="26">
        <v>0</v>
      </c>
      <c r="X77" s="26">
        <v>0</v>
      </c>
      <c r="Y77" s="26">
        <v>3.6589999999999998</v>
      </c>
      <c r="Z77" s="28" t="s">
        <v>116</v>
      </c>
      <c r="AA77" s="28" t="s">
        <v>117</v>
      </c>
      <c r="AB77" s="26"/>
      <c r="AC77" s="28" t="s">
        <v>118</v>
      </c>
      <c r="AD77" s="28" t="s">
        <v>211</v>
      </c>
      <c r="AE77" s="28" t="s">
        <v>211</v>
      </c>
    </row>
    <row r="78" spans="1:31">
      <c r="A78" s="27">
        <v>45791</v>
      </c>
      <c r="B78" s="27">
        <v>45791</v>
      </c>
      <c r="C78" s="27">
        <v>45791</v>
      </c>
      <c r="D78" s="28" t="s">
        <v>603</v>
      </c>
      <c r="E78" s="28" t="s">
        <v>111</v>
      </c>
      <c r="F78" s="28" t="s">
        <v>261</v>
      </c>
      <c r="G78" s="28" t="s">
        <v>604</v>
      </c>
      <c r="H78" s="28" t="s">
        <v>113</v>
      </c>
      <c r="I78" s="28" t="s">
        <v>590</v>
      </c>
      <c r="J78" s="28" t="s">
        <v>591</v>
      </c>
      <c r="K78" s="28" t="s">
        <v>592</v>
      </c>
      <c r="L78" s="28" t="s">
        <v>114</v>
      </c>
      <c r="M78" s="26">
        <v>515</v>
      </c>
      <c r="N78" s="26">
        <v>436.44</v>
      </c>
      <c r="O78" s="26">
        <v>0</v>
      </c>
      <c r="P78" s="26">
        <v>0</v>
      </c>
      <c r="Q78" s="26">
        <v>0</v>
      </c>
      <c r="R78" s="26">
        <v>78.56</v>
      </c>
      <c r="S78" s="26">
        <v>0</v>
      </c>
      <c r="T78" s="26">
        <v>515</v>
      </c>
      <c r="U78" s="28" t="s">
        <v>115</v>
      </c>
      <c r="V78" s="26"/>
      <c r="W78" s="26">
        <v>0</v>
      </c>
      <c r="X78" s="26">
        <v>0</v>
      </c>
      <c r="Y78" s="26">
        <v>3.6589999999999998</v>
      </c>
      <c r="Z78" s="28" t="s">
        <v>116</v>
      </c>
      <c r="AA78" s="28" t="s">
        <v>117</v>
      </c>
      <c r="AB78" s="26"/>
      <c r="AC78" s="28" t="s">
        <v>118</v>
      </c>
      <c r="AD78" s="28" t="s">
        <v>211</v>
      </c>
      <c r="AE78" s="28" t="s">
        <v>211</v>
      </c>
    </row>
    <row r="79" spans="1:31">
      <c r="A79" s="27">
        <v>45791</v>
      </c>
      <c r="B79" s="27">
        <v>45791</v>
      </c>
      <c r="C79" s="27">
        <v>45791</v>
      </c>
      <c r="D79" s="28" t="s">
        <v>605</v>
      </c>
      <c r="E79" s="28" t="s">
        <v>111</v>
      </c>
      <c r="F79" s="28" t="s">
        <v>134</v>
      </c>
      <c r="G79" s="28" t="s">
        <v>606</v>
      </c>
      <c r="H79" s="28" t="s">
        <v>113</v>
      </c>
      <c r="I79" s="28" t="s">
        <v>135</v>
      </c>
      <c r="J79" s="28" t="s">
        <v>136</v>
      </c>
      <c r="K79" s="28" t="s">
        <v>137</v>
      </c>
      <c r="L79" s="28" t="s">
        <v>114</v>
      </c>
      <c r="M79" s="26">
        <v>112.2</v>
      </c>
      <c r="N79" s="26">
        <v>0</v>
      </c>
      <c r="O79" s="26">
        <v>0</v>
      </c>
      <c r="P79" s="26">
        <v>112.2</v>
      </c>
      <c r="Q79" s="26">
        <v>0</v>
      </c>
      <c r="R79" s="26">
        <v>0</v>
      </c>
      <c r="S79" s="26">
        <v>0</v>
      </c>
      <c r="T79" s="26">
        <v>112.2</v>
      </c>
      <c r="U79" s="28" t="s">
        <v>115</v>
      </c>
      <c r="V79" s="26"/>
      <c r="W79" s="26">
        <v>0</v>
      </c>
      <c r="X79" s="26">
        <v>0</v>
      </c>
      <c r="Y79" s="26">
        <v>3.6589999999999998</v>
      </c>
      <c r="Z79" s="28" t="s">
        <v>116</v>
      </c>
      <c r="AA79" s="28" t="s">
        <v>117</v>
      </c>
      <c r="AB79" s="26"/>
      <c r="AC79" s="28" t="s">
        <v>118</v>
      </c>
      <c r="AD79" s="28" t="s">
        <v>211</v>
      </c>
      <c r="AE79" s="28" t="s">
        <v>211</v>
      </c>
    </row>
    <row r="80" spans="1:31">
      <c r="A80" s="27">
        <v>45791</v>
      </c>
      <c r="B80" s="27">
        <v>45791</v>
      </c>
      <c r="C80" s="27">
        <v>45791</v>
      </c>
      <c r="D80" s="28" t="s">
        <v>607</v>
      </c>
      <c r="E80" s="28" t="s">
        <v>111</v>
      </c>
      <c r="F80" s="28" t="s">
        <v>77</v>
      </c>
      <c r="G80" s="28" t="s">
        <v>608</v>
      </c>
      <c r="H80" s="28" t="s">
        <v>113</v>
      </c>
      <c r="I80" s="28" t="s">
        <v>609</v>
      </c>
      <c r="J80" s="28" t="s">
        <v>610</v>
      </c>
      <c r="K80" s="28" t="s">
        <v>611</v>
      </c>
      <c r="L80" s="28" t="s">
        <v>114</v>
      </c>
      <c r="M80" s="26">
        <v>4200</v>
      </c>
      <c r="N80" s="26">
        <v>3559.32</v>
      </c>
      <c r="O80" s="26">
        <v>0</v>
      </c>
      <c r="P80" s="26">
        <v>0</v>
      </c>
      <c r="Q80" s="26">
        <v>0</v>
      </c>
      <c r="R80" s="26">
        <v>640.67999999999995</v>
      </c>
      <c r="S80" s="26">
        <v>0</v>
      </c>
      <c r="T80" s="26">
        <v>4200</v>
      </c>
      <c r="U80" s="28" t="s">
        <v>612</v>
      </c>
      <c r="V80" s="27">
        <v>45814</v>
      </c>
      <c r="W80" s="26">
        <v>0</v>
      </c>
      <c r="X80" s="26">
        <v>0</v>
      </c>
      <c r="Y80" s="26">
        <v>3.6589999999999998</v>
      </c>
      <c r="Z80" s="28" t="s">
        <v>116</v>
      </c>
      <c r="AA80" s="28" t="s">
        <v>117</v>
      </c>
      <c r="AB80" s="26"/>
      <c r="AC80" s="28" t="s">
        <v>118</v>
      </c>
      <c r="AD80" s="28" t="s">
        <v>211</v>
      </c>
      <c r="AE80" s="28" t="s">
        <v>211</v>
      </c>
    </row>
    <row r="81" spans="1:31">
      <c r="A81" s="27">
        <v>45792</v>
      </c>
      <c r="B81" s="27">
        <v>45792</v>
      </c>
      <c r="C81" s="27">
        <v>45792</v>
      </c>
      <c r="D81" s="28" t="s">
        <v>613</v>
      </c>
      <c r="E81" s="28" t="s">
        <v>111</v>
      </c>
      <c r="F81" s="28" t="s">
        <v>77</v>
      </c>
      <c r="G81" s="28" t="s">
        <v>614</v>
      </c>
      <c r="H81" s="28" t="s">
        <v>113</v>
      </c>
      <c r="I81" s="28" t="s">
        <v>615</v>
      </c>
      <c r="J81" s="28" t="s">
        <v>616</v>
      </c>
      <c r="K81" s="28" t="s">
        <v>617</v>
      </c>
      <c r="L81" s="28" t="s">
        <v>114</v>
      </c>
      <c r="M81" s="26">
        <v>180</v>
      </c>
      <c r="N81" s="26">
        <v>152.54</v>
      </c>
      <c r="O81" s="26">
        <v>0</v>
      </c>
      <c r="P81" s="26">
        <v>0</v>
      </c>
      <c r="Q81" s="26">
        <v>0</v>
      </c>
      <c r="R81" s="26">
        <v>27.46</v>
      </c>
      <c r="S81" s="26">
        <v>0</v>
      </c>
      <c r="T81" s="26">
        <v>180</v>
      </c>
      <c r="U81" s="28" t="s">
        <v>115</v>
      </c>
      <c r="V81" s="26"/>
      <c r="W81" s="26">
        <v>0</v>
      </c>
      <c r="X81" s="26">
        <v>0</v>
      </c>
      <c r="Y81" s="26">
        <v>3.6819999999999999</v>
      </c>
      <c r="Z81" s="28" t="s">
        <v>116</v>
      </c>
      <c r="AA81" s="28" t="s">
        <v>117</v>
      </c>
      <c r="AB81" s="26"/>
      <c r="AC81" s="28" t="s">
        <v>118</v>
      </c>
      <c r="AD81" s="28" t="s">
        <v>220</v>
      </c>
      <c r="AE81" s="28" t="s">
        <v>220</v>
      </c>
    </row>
    <row r="82" spans="1:31">
      <c r="A82" s="27">
        <v>45792</v>
      </c>
      <c r="B82" s="27">
        <v>45792</v>
      </c>
      <c r="C82" s="27">
        <v>45792</v>
      </c>
      <c r="D82" s="28" t="s">
        <v>618</v>
      </c>
      <c r="E82" s="28" t="s">
        <v>111</v>
      </c>
      <c r="F82" s="28" t="s">
        <v>134</v>
      </c>
      <c r="G82" s="28" t="s">
        <v>619</v>
      </c>
      <c r="H82" s="28" t="s">
        <v>113</v>
      </c>
      <c r="I82" s="28" t="s">
        <v>135</v>
      </c>
      <c r="J82" s="28" t="s">
        <v>136</v>
      </c>
      <c r="K82" s="28" t="s">
        <v>137</v>
      </c>
      <c r="L82" s="28" t="s">
        <v>114</v>
      </c>
      <c r="M82" s="26">
        <v>61.1</v>
      </c>
      <c r="N82" s="26">
        <v>0</v>
      </c>
      <c r="O82" s="26">
        <v>0</v>
      </c>
      <c r="P82" s="26">
        <v>61.1</v>
      </c>
      <c r="Q82" s="26">
        <v>0</v>
      </c>
      <c r="R82" s="26">
        <v>0</v>
      </c>
      <c r="S82" s="26">
        <v>0</v>
      </c>
      <c r="T82" s="26">
        <v>61.1</v>
      </c>
      <c r="U82" s="28" t="s">
        <v>115</v>
      </c>
      <c r="V82" s="26"/>
      <c r="W82" s="26">
        <v>0</v>
      </c>
      <c r="X82" s="26">
        <v>0</v>
      </c>
      <c r="Y82" s="26">
        <v>3.6819999999999999</v>
      </c>
      <c r="Z82" s="28" t="s">
        <v>116</v>
      </c>
      <c r="AA82" s="28" t="s">
        <v>117</v>
      </c>
      <c r="AB82" s="26"/>
      <c r="AC82" s="28" t="s">
        <v>118</v>
      </c>
      <c r="AD82" s="28" t="s">
        <v>220</v>
      </c>
      <c r="AE82" s="28" t="s">
        <v>220</v>
      </c>
    </row>
    <row r="83" spans="1:31">
      <c r="A83" s="27">
        <v>45793</v>
      </c>
      <c r="B83" s="27">
        <v>45793</v>
      </c>
      <c r="C83" s="27">
        <v>45793</v>
      </c>
      <c r="D83" s="28" t="s">
        <v>620</v>
      </c>
      <c r="E83" s="28" t="s">
        <v>111</v>
      </c>
      <c r="F83" s="28" t="s">
        <v>167</v>
      </c>
      <c r="G83" s="28" t="s">
        <v>900</v>
      </c>
      <c r="H83" s="28" t="s">
        <v>113</v>
      </c>
      <c r="I83" s="28" t="s">
        <v>135</v>
      </c>
      <c r="J83" s="28" t="s">
        <v>136</v>
      </c>
      <c r="K83" s="28" t="s">
        <v>137</v>
      </c>
      <c r="L83" s="28" t="s">
        <v>125</v>
      </c>
      <c r="M83" s="26">
        <v>67</v>
      </c>
      <c r="N83" s="26">
        <v>0</v>
      </c>
      <c r="O83" s="26">
        <v>0</v>
      </c>
      <c r="P83" s="26">
        <v>246.96</v>
      </c>
      <c r="Q83" s="26">
        <v>0</v>
      </c>
      <c r="R83" s="26">
        <v>0</v>
      </c>
      <c r="S83" s="26">
        <v>0</v>
      </c>
      <c r="T83" s="26">
        <v>246.96</v>
      </c>
      <c r="U83" s="28" t="s">
        <v>115</v>
      </c>
      <c r="V83" s="26"/>
      <c r="W83" s="26">
        <v>0</v>
      </c>
      <c r="X83" s="26">
        <v>0</v>
      </c>
      <c r="Y83" s="26">
        <v>3.6859999999999999</v>
      </c>
      <c r="Z83" s="28" t="s">
        <v>116</v>
      </c>
      <c r="AA83" s="28" t="s">
        <v>117</v>
      </c>
      <c r="AB83" s="26"/>
      <c r="AC83" s="28" t="s">
        <v>118</v>
      </c>
      <c r="AD83" s="28" t="s">
        <v>212</v>
      </c>
      <c r="AE83" s="28" t="s">
        <v>212</v>
      </c>
    </row>
    <row r="84" spans="1:31">
      <c r="A84" s="27">
        <v>45793</v>
      </c>
      <c r="B84" s="27">
        <v>45793</v>
      </c>
      <c r="C84" s="27">
        <v>45793</v>
      </c>
      <c r="D84" s="28" t="s">
        <v>621</v>
      </c>
      <c r="E84" s="28" t="s">
        <v>111</v>
      </c>
      <c r="F84" s="28" t="s">
        <v>167</v>
      </c>
      <c r="G84" s="28" t="s">
        <v>622</v>
      </c>
      <c r="H84" s="28" t="s">
        <v>113</v>
      </c>
      <c r="I84" s="28" t="s">
        <v>135</v>
      </c>
      <c r="J84" s="28" t="s">
        <v>136</v>
      </c>
      <c r="K84" s="28" t="s">
        <v>137</v>
      </c>
      <c r="L84" s="28" t="s">
        <v>125</v>
      </c>
      <c r="M84" s="26">
        <v>67</v>
      </c>
      <c r="N84" s="26">
        <v>0</v>
      </c>
      <c r="O84" s="26">
        <v>0</v>
      </c>
      <c r="P84" s="26">
        <v>246.96</v>
      </c>
      <c r="Q84" s="26">
        <v>0</v>
      </c>
      <c r="R84" s="26">
        <v>0</v>
      </c>
      <c r="S84" s="26">
        <v>0</v>
      </c>
      <c r="T84" s="26">
        <v>246.96</v>
      </c>
      <c r="U84" s="28" t="s">
        <v>115</v>
      </c>
      <c r="V84" s="26"/>
      <c r="W84" s="26">
        <v>0</v>
      </c>
      <c r="X84" s="26">
        <v>0</v>
      </c>
      <c r="Y84" s="26">
        <v>3.6859999999999999</v>
      </c>
      <c r="Z84" s="28" t="s">
        <v>116</v>
      </c>
      <c r="AA84" s="28" t="s">
        <v>117</v>
      </c>
      <c r="AB84" s="26"/>
      <c r="AC84" s="28" t="s">
        <v>118</v>
      </c>
      <c r="AD84" s="28" t="s">
        <v>212</v>
      </c>
      <c r="AE84" s="28" t="s">
        <v>212</v>
      </c>
    </row>
    <row r="85" spans="1:31">
      <c r="A85" s="27">
        <v>45793</v>
      </c>
      <c r="B85" s="27">
        <v>45793</v>
      </c>
      <c r="C85" s="27">
        <v>45793</v>
      </c>
      <c r="D85" s="28" t="s">
        <v>623</v>
      </c>
      <c r="E85" s="28" t="s">
        <v>111</v>
      </c>
      <c r="F85" s="28" t="s">
        <v>134</v>
      </c>
      <c r="G85" s="28" t="s">
        <v>624</v>
      </c>
      <c r="H85" s="28" t="s">
        <v>113</v>
      </c>
      <c r="I85" s="28" t="s">
        <v>135</v>
      </c>
      <c r="J85" s="28" t="s">
        <v>136</v>
      </c>
      <c r="K85" s="28" t="s">
        <v>137</v>
      </c>
      <c r="L85" s="28" t="s">
        <v>114</v>
      </c>
      <c r="M85" s="26">
        <v>80</v>
      </c>
      <c r="N85" s="26">
        <v>0</v>
      </c>
      <c r="O85" s="26">
        <v>0</v>
      </c>
      <c r="P85" s="26">
        <v>80</v>
      </c>
      <c r="Q85" s="26">
        <v>0</v>
      </c>
      <c r="R85" s="26">
        <v>0</v>
      </c>
      <c r="S85" s="26">
        <v>0</v>
      </c>
      <c r="T85" s="26">
        <v>80</v>
      </c>
      <c r="U85" s="28" t="s">
        <v>115</v>
      </c>
      <c r="V85" s="26"/>
      <c r="W85" s="26">
        <v>0</v>
      </c>
      <c r="X85" s="26">
        <v>0</v>
      </c>
      <c r="Y85" s="26">
        <v>3.6859999999999999</v>
      </c>
      <c r="Z85" s="28" t="s">
        <v>116</v>
      </c>
      <c r="AA85" s="28" t="s">
        <v>117</v>
      </c>
      <c r="AB85" s="26"/>
      <c r="AC85" s="28" t="s">
        <v>118</v>
      </c>
      <c r="AD85" s="28" t="s">
        <v>212</v>
      </c>
      <c r="AE85" s="28" t="s">
        <v>212</v>
      </c>
    </row>
    <row r="86" spans="1:31">
      <c r="A86" s="27">
        <v>45794</v>
      </c>
      <c r="B86" s="27">
        <v>45794</v>
      </c>
      <c r="C86" s="27">
        <v>45794</v>
      </c>
      <c r="D86" s="28" t="s">
        <v>625</v>
      </c>
      <c r="E86" s="28" t="s">
        <v>111</v>
      </c>
      <c r="F86" s="28" t="s">
        <v>626</v>
      </c>
      <c r="G86" s="28" t="s">
        <v>627</v>
      </c>
      <c r="H86" s="28" t="s">
        <v>113</v>
      </c>
      <c r="I86" s="28" t="s">
        <v>135</v>
      </c>
      <c r="J86" s="28" t="s">
        <v>136</v>
      </c>
      <c r="K86" s="28" t="s">
        <v>137</v>
      </c>
      <c r="L86" s="28" t="s">
        <v>114</v>
      </c>
      <c r="M86" s="26">
        <v>10</v>
      </c>
      <c r="N86" s="26">
        <v>0</v>
      </c>
      <c r="O86" s="26">
        <v>0</v>
      </c>
      <c r="P86" s="26">
        <v>10</v>
      </c>
      <c r="Q86" s="26">
        <v>0</v>
      </c>
      <c r="R86" s="26">
        <v>0</v>
      </c>
      <c r="S86" s="26">
        <v>0</v>
      </c>
      <c r="T86" s="26">
        <v>10</v>
      </c>
      <c r="U86" s="28" t="s">
        <v>115</v>
      </c>
      <c r="V86" s="26"/>
      <c r="W86" s="26">
        <v>0</v>
      </c>
      <c r="X86" s="26">
        <v>0</v>
      </c>
      <c r="Y86" s="26">
        <v>3.6960000000000002</v>
      </c>
      <c r="Z86" s="28" t="s">
        <v>116</v>
      </c>
      <c r="AA86" s="28" t="s">
        <v>117</v>
      </c>
      <c r="AB86" s="26"/>
      <c r="AC86" s="28" t="s">
        <v>118</v>
      </c>
      <c r="AD86" s="28" t="s">
        <v>628</v>
      </c>
      <c r="AE86" s="28" t="s">
        <v>628</v>
      </c>
    </row>
    <row r="87" spans="1:31">
      <c r="A87" s="27">
        <v>45796</v>
      </c>
      <c r="B87" s="27">
        <v>45796</v>
      </c>
      <c r="C87" s="27">
        <v>45796</v>
      </c>
      <c r="D87" s="28" t="s">
        <v>165</v>
      </c>
      <c r="E87" s="28" t="s">
        <v>111</v>
      </c>
      <c r="F87" s="28" t="s">
        <v>370</v>
      </c>
      <c r="G87" s="28" t="s">
        <v>371</v>
      </c>
      <c r="H87" s="28" t="s">
        <v>113</v>
      </c>
      <c r="I87" s="28" t="s">
        <v>372</v>
      </c>
      <c r="J87" s="28" t="s">
        <v>373</v>
      </c>
      <c r="K87" s="28" t="s">
        <v>374</v>
      </c>
      <c r="L87" s="28" t="s">
        <v>114</v>
      </c>
      <c r="M87" s="26">
        <v>42</v>
      </c>
      <c r="N87" s="26">
        <v>38.18</v>
      </c>
      <c r="O87" s="26">
        <v>0</v>
      </c>
      <c r="P87" s="26">
        <v>0</v>
      </c>
      <c r="Q87" s="26">
        <v>0</v>
      </c>
      <c r="R87" s="26">
        <v>3.82</v>
      </c>
      <c r="S87" s="26">
        <v>0</v>
      </c>
      <c r="T87" s="26">
        <v>42</v>
      </c>
      <c r="U87" s="28" t="s">
        <v>115</v>
      </c>
      <c r="V87" s="26"/>
      <c r="W87" s="26">
        <v>0</v>
      </c>
      <c r="X87" s="26">
        <v>0</v>
      </c>
      <c r="Y87" s="26">
        <v>3.6960000000000002</v>
      </c>
      <c r="Z87" s="28" t="s">
        <v>116</v>
      </c>
      <c r="AA87" s="28" t="s">
        <v>117</v>
      </c>
      <c r="AB87" s="26"/>
      <c r="AC87" s="28" t="s">
        <v>118</v>
      </c>
      <c r="AD87" s="28" t="s">
        <v>213</v>
      </c>
      <c r="AE87" s="28" t="s">
        <v>213</v>
      </c>
    </row>
    <row r="88" spans="1:31">
      <c r="A88" s="27">
        <v>45796</v>
      </c>
      <c r="B88" s="27">
        <v>45796</v>
      </c>
      <c r="C88" s="27">
        <v>45796</v>
      </c>
      <c r="D88" s="28" t="s">
        <v>629</v>
      </c>
      <c r="E88" s="28" t="s">
        <v>111</v>
      </c>
      <c r="F88" s="28" t="s">
        <v>124</v>
      </c>
      <c r="G88" s="28" t="s">
        <v>630</v>
      </c>
      <c r="H88" s="28" t="s">
        <v>113</v>
      </c>
      <c r="I88" s="28" t="s">
        <v>631</v>
      </c>
      <c r="J88" s="28" t="s">
        <v>632</v>
      </c>
      <c r="K88" s="28" t="s">
        <v>633</v>
      </c>
      <c r="L88" s="28" t="s">
        <v>114</v>
      </c>
      <c r="M88" s="26">
        <v>543</v>
      </c>
      <c r="N88" s="26">
        <v>441.47</v>
      </c>
      <c r="O88" s="26">
        <v>0</v>
      </c>
      <c r="P88" s="26">
        <v>22.07</v>
      </c>
      <c r="Q88" s="26">
        <v>0</v>
      </c>
      <c r="R88" s="26">
        <v>79.459999999999994</v>
      </c>
      <c r="S88" s="26">
        <v>0</v>
      </c>
      <c r="T88" s="26">
        <v>543</v>
      </c>
      <c r="U88" s="28" t="s">
        <v>115</v>
      </c>
      <c r="V88" s="26"/>
      <c r="W88" s="26">
        <v>0</v>
      </c>
      <c r="X88" s="26">
        <v>0</v>
      </c>
      <c r="Y88" s="26">
        <v>3.6960000000000002</v>
      </c>
      <c r="Z88" s="28" t="s">
        <v>116</v>
      </c>
      <c r="AA88" s="28" t="s">
        <v>117</v>
      </c>
      <c r="AB88" s="26"/>
      <c r="AC88" s="28" t="s">
        <v>118</v>
      </c>
      <c r="AD88" s="28" t="s">
        <v>213</v>
      </c>
      <c r="AE88" s="28" t="s">
        <v>213</v>
      </c>
    </row>
    <row r="89" spans="1:31">
      <c r="A89" s="27">
        <v>45796</v>
      </c>
      <c r="B89" s="27">
        <v>45796</v>
      </c>
      <c r="C89" s="27">
        <v>45796</v>
      </c>
      <c r="D89" s="28" t="s">
        <v>634</v>
      </c>
      <c r="E89" s="28" t="s">
        <v>111</v>
      </c>
      <c r="F89" s="28" t="s">
        <v>635</v>
      </c>
      <c r="G89" s="28" t="s">
        <v>636</v>
      </c>
      <c r="H89" s="28" t="s">
        <v>113</v>
      </c>
      <c r="I89" s="28" t="s">
        <v>140</v>
      </c>
      <c r="J89" s="28" t="s">
        <v>141</v>
      </c>
      <c r="K89" s="28" t="s">
        <v>142</v>
      </c>
      <c r="L89" s="28" t="s">
        <v>114</v>
      </c>
      <c r="M89" s="26">
        <v>26</v>
      </c>
      <c r="N89" s="26">
        <v>0</v>
      </c>
      <c r="O89" s="26">
        <v>0</v>
      </c>
      <c r="P89" s="26">
        <v>26</v>
      </c>
      <c r="Q89" s="26">
        <v>0</v>
      </c>
      <c r="R89" s="26">
        <v>0</v>
      </c>
      <c r="S89" s="26">
        <v>0</v>
      </c>
      <c r="T89" s="26">
        <v>26</v>
      </c>
      <c r="U89" s="28" t="s">
        <v>115</v>
      </c>
      <c r="V89" s="26"/>
      <c r="W89" s="26">
        <v>0</v>
      </c>
      <c r="X89" s="26">
        <v>0</v>
      </c>
      <c r="Y89" s="26">
        <v>3.6960000000000002</v>
      </c>
      <c r="Z89" s="28" t="s">
        <v>116</v>
      </c>
      <c r="AA89" s="28" t="s">
        <v>117</v>
      </c>
      <c r="AB89" s="26"/>
      <c r="AC89" s="28" t="s">
        <v>118</v>
      </c>
      <c r="AD89" s="28" t="s">
        <v>213</v>
      </c>
      <c r="AE89" s="28" t="s">
        <v>213</v>
      </c>
    </row>
    <row r="90" spans="1:31">
      <c r="A90" s="27">
        <v>45796</v>
      </c>
      <c r="B90" s="27">
        <v>45796</v>
      </c>
      <c r="C90" s="27">
        <v>45796</v>
      </c>
      <c r="D90" s="28" t="s">
        <v>637</v>
      </c>
      <c r="E90" s="28" t="s">
        <v>111</v>
      </c>
      <c r="F90" s="28" t="s">
        <v>134</v>
      </c>
      <c r="G90" s="28" t="s">
        <v>638</v>
      </c>
      <c r="H90" s="28" t="s">
        <v>113</v>
      </c>
      <c r="I90" s="28" t="s">
        <v>135</v>
      </c>
      <c r="J90" s="28" t="s">
        <v>136</v>
      </c>
      <c r="K90" s="28" t="s">
        <v>137</v>
      </c>
      <c r="L90" s="28" t="s">
        <v>114</v>
      </c>
      <c r="M90" s="26">
        <v>78.7</v>
      </c>
      <c r="N90" s="26">
        <v>0</v>
      </c>
      <c r="O90" s="26">
        <v>0</v>
      </c>
      <c r="P90" s="26">
        <v>78.7</v>
      </c>
      <c r="Q90" s="26">
        <v>0</v>
      </c>
      <c r="R90" s="26">
        <v>0</v>
      </c>
      <c r="S90" s="26">
        <v>0</v>
      </c>
      <c r="T90" s="26">
        <v>78.7</v>
      </c>
      <c r="U90" s="28" t="s">
        <v>115</v>
      </c>
      <c r="V90" s="26"/>
      <c r="W90" s="26">
        <v>0</v>
      </c>
      <c r="X90" s="26">
        <v>0</v>
      </c>
      <c r="Y90" s="26">
        <v>3.6960000000000002</v>
      </c>
      <c r="Z90" s="28" t="s">
        <v>116</v>
      </c>
      <c r="AA90" s="28" t="s">
        <v>117</v>
      </c>
      <c r="AB90" s="26"/>
      <c r="AC90" s="28" t="s">
        <v>118</v>
      </c>
      <c r="AD90" s="28" t="s">
        <v>213</v>
      </c>
      <c r="AE90" s="28" t="s">
        <v>213</v>
      </c>
    </row>
    <row r="91" spans="1:31">
      <c r="A91" s="27">
        <v>45797</v>
      </c>
      <c r="B91" s="27">
        <v>45797</v>
      </c>
      <c r="C91" s="27">
        <v>45797</v>
      </c>
      <c r="D91" s="28" t="s">
        <v>166</v>
      </c>
      <c r="E91" s="28" t="s">
        <v>111</v>
      </c>
      <c r="F91" s="28" t="s">
        <v>124</v>
      </c>
      <c r="G91" s="28" t="s">
        <v>375</v>
      </c>
      <c r="H91" s="28" t="s">
        <v>113</v>
      </c>
      <c r="I91" s="28" t="s">
        <v>376</v>
      </c>
      <c r="J91" s="28" t="s">
        <v>377</v>
      </c>
      <c r="K91" s="28" t="s">
        <v>378</v>
      </c>
      <c r="L91" s="28" t="s">
        <v>114</v>
      </c>
      <c r="M91" s="26">
        <v>152</v>
      </c>
      <c r="N91" s="26">
        <v>128.81</v>
      </c>
      <c r="O91" s="26">
        <v>0</v>
      </c>
      <c r="P91" s="26">
        <v>0</v>
      </c>
      <c r="Q91" s="26">
        <v>0</v>
      </c>
      <c r="R91" s="26">
        <v>23.19</v>
      </c>
      <c r="S91" s="26">
        <v>0</v>
      </c>
      <c r="T91" s="26">
        <v>152</v>
      </c>
      <c r="U91" s="28" t="s">
        <v>115</v>
      </c>
      <c r="V91" s="26"/>
      <c r="W91" s="26">
        <v>0</v>
      </c>
      <c r="X91" s="26">
        <v>0</v>
      </c>
      <c r="Y91" s="26">
        <v>3.6930000000000001</v>
      </c>
      <c r="Z91" s="28" t="s">
        <v>116</v>
      </c>
      <c r="AA91" s="28" t="s">
        <v>117</v>
      </c>
      <c r="AB91" s="26"/>
      <c r="AC91" s="28" t="s">
        <v>118</v>
      </c>
      <c r="AD91" s="28" t="s">
        <v>219</v>
      </c>
      <c r="AE91" s="28" t="s">
        <v>219</v>
      </c>
    </row>
    <row r="92" spans="1:31">
      <c r="A92" s="27">
        <v>45797</v>
      </c>
      <c r="B92" s="27">
        <v>45797</v>
      </c>
      <c r="C92" s="27">
        <v>45797</v>
      </c>
      <c r="D92" s="28" t="s">
        <v>639</v>
      </c>
      <c r="E92" s="28" t="s">
        <v>111</v>
      </c>
      <c r="F92" s="28" t="s">
        <v>134</v>
      </c>
      <c r="G92" s="28" t="s">
        <v>640</v>
      </c>
      <c r="H92" s="28" t="s">
        <v>113</v>
      </c>
      <c r="I92" s="28" t="s">
        <v>135</v>
      </c>
      <c r="J92" s="28" t="s">
        <v>136</v>
      </c>
      <c r="K92" s="28" t="s">
        <v>137</v>
      </c>
      <c r="L92" s="28" t="s">
        <v>114</v>
      </c>
      <c r="M92" s="26">
        <v>139.5</v>
      </c>
      <c r="N92" s="26">
        <v>0</v>
      </c>
      <c r="O92" s="26">
        <v>0</v>
      </c>
      <c r="P92" s="26">
        <v>139.5</v>
      </c>
      <c r="Q92" s="26">
        <v>0</v>
      </c>
      <c r="R92" s="26">
        <v>0</v>
      </c>
      <c r="S92" s="26">
        <v>0</v>
      </c>
      <c r="T92" s="26">
        <v>139.5</v>
      </c>
      <c r="U92" s="28" t="s">
        <v>115</v>
      </c>
      <c r="V92" s="26"/>
      <c r="W92" s="26">
        <v>0</v>
      </c>
      <c r="X92" s="26">
        <v>0</v>
      </c>
      <c r="Y92" s="26">
        <v>3.6930000000000001</v>
      </c>
      <c r="Z92" s="28" t="s">
        <v>116</v>
      </c>
      <c r="AA92" s="28" t="s">
        <v>117</v>
      </c>
      <c r="AB92" s="26"/>
      <c r="AC92" s="28" t="s">
        <v>118</v>
      </c>
      <c r="AD92" s="28" t="s">
        <v>219</v>
      </c>
      <c r="AE92" s="28" t="s">
        <v>219</v>
      </c>
    </row>
    <row r="93" spans="1:31">
      <c r="A93" s="27">
        <v>45797</v>
      </c>
      <c r="B93" s="27">
        <v>45797</v>
      </c>
      <c r="C93" s="27">
        <v>45797</v>
      </c>
      <c r="D93" s="28" t="s">
        <v>641</v>
      </c>
      <c r="E93" s="28" t="s">
        <v>111</v>
      </c>
      <c r="F93" s="28" t="s">
        <v>134</v>
      </c>
      <c r="G93" s="28" t="s">
        <v>642</v>
      </c>
      <c r="H93" s="28" t="s">
        <v>113</v>
      </c>
      <c r="I93" s="28" t="s">
        <v>135</v>
      </c>
      <c r="J93" s="28" t="s">
        <v>136</v>
      </c>
      <c r="K93" s="28" t="s">
        <v>137</v>
      </c>
      <c r="L93" s="28" t="s">
        <v>114</v>
      </c>
      <c r="M93" s="26">
        <v>90.6</v>
      </c>
      <c r="N93" s="26">
        <v>0</v>
      </c>
      <c r="O93" s="26">
        <v>0</v>
      </c>
      <c r="P93" s="26">
        <v>90.6</v>
      </c>
      <c r="Q93" s="26">
        <v>0</v>
      </c>
      <c r="R93" s="26">
        <v>0</v>
      </c>
      <c r="S93" s="26">
        <v>0</v>
      </c>
      <c r="T93" s="26">
        <v>90.6</v>
      </c>
      <c r="U93" s="28" t="s">
        <v>115</v>
      </c>
      <c r="V93" s="26"/>
      <c r="W93" s="26">
        <v>0</v>
      </c>
      <c r="X93" s="26">
        <v>0</v>
      </c>
      <c r="Y93" s="26">
        <v>3.6930000000000001</v>
      </c>
      <c r="Z93" s="28" t="s">
        <v>116</v>
      </c>
      <c r="AA93" s="28" t="s">
        <v>117</v>
      </c>
      <c r="AB93" s="26"/>
      <c r="AC93" s="28" t="s">
        <v>118</v>
      </c>
      <c r="AD93" s="28" t="s">
        <v>219</v>
      </c>
      <c r="AE93" s="28" t="s">
        <v>219</v>
      </c>
    </row>
    <row r="94" spans="1:31">
      <c r="A94" s="27">
        <v>45797</v>
      </c>
      <c r="B94" s="27">
        <v>45804</v>
      </c>
      <c r="C94" s="27">
        <v>45797</v>
      </c>
      <c r="D94" s="28" t="s">
        <v>643</v>
      </c>
      <c r="E94" s="28" t="s">
        <v>111</v>
      </c>
      <c r="F94" s="28" t="s">
        <v>77</v>
      </c>
      <c r="G94" s="28" t="s">
        <v>644</v>
      </c>
      <c r="H94" s="28" t="s">
        <v>113</v>
      </c>
      <c r="I94" s="28" t="s">
        <v>554</v>
      </c>
      <c r="J94" s="28" t="s">
        <v>555</v>
      </c>
      <c r="K94" s="28" t="s">
        <v>556</v>
      </c>
      <c r="L94" s="28" t="s">
        <v>114</v>
      </c>
      <c r="M94" s="26">
        <v>65</v>
      </c>
      <c r="N94" s="26">
        <v>0</v>
      </c>
      <c r="O94" s="26">
        <v>0</v>
      </c>
      <c r="P94" s="26">
        <v>65</v>
      </c>
      <c r="Q94" s="26">
        <v>0</v>
      </c>
      <c r="R94" s="26">
        <v>0</v>
      </c>
      <c r="S94" s="26">
        <v>0</v>
      </c>
      <c r="T94" s="26">
        <v>65</v>
      </c>
      <c r="U94" s="28" t="s">
        <v>115</v>
      </c>
      <c r="V94" s="26"/>
      <c r="W94" s="26">
        <v>0</v>
      </c>
      <c r="X94" s="26">
        <v>0</v>
      </c>
      <c r="Y94" s="26">
        <v>3.6930000000000001</v>
      </c>
      <c r="Z94" s="28" t="s">
        <v>116</v>
      </c>
      <c r="AA94" s="28" t="s">
        <v>117</v>
      </c>
      <c r="AB94" s="26"/>
      <c r="AC94" s="28" t="s">
        <v>118</v>
      </c>
      <c r="AD94" s="28" t="s">
        <v>219</v>
      </c>
      <c r="AE94" s="28" t="s">
        <v>219</v>
      </c>
    </row>
    <row r="95" spans="1:31">
      <c r="A95" s="27">
        <v>45798</v>
      </c>
      <c r="B95" s="27">
        <v>45798</v>
      </c>
      <c r="C95" s="27">
        <v>45798</v>
      </c>
      <c r="D95" s="28" t="s">
        <v>645</v>
      </c>
      <c r="E95" s="28" t="s">
        <v>111</v>
      </c>
      <c r="F95" s="28" t="s">
        <v>646</v>
      </c>
      <c r="G95" s="28" t="s">
        <v>647</v>
      </c>
      <c r="H95" s="28" t="s">
        <v>113</v>
      </c>
      <c r="I95" s="28" t="s">
        <v>648</v>
      </c>
      <c r="J95" s="28" t="s">
        <v>649</v>
      </c>
      <c r="K95" s="28" t="s">
        <v>650</v>
      </c>
      <c r="L95" s="28" t="s">
        <v>114</v>
      </c>
      <c r="M95" s="26">
        <v>479</v>
      </c>
      <c r="N95" s="26">
        <v>435.45</v>
      </c>
      <c r="O95" s="26">
        <v>0</v>
      </c>
      <c r="P95" s="26">
        <v>0</v>
      </c>
      <c r="Q95" s="26">
        <v>0</v>
      </c>
      <c r="R95" s="26">
        <v>43.55</v>
      </c>
      <c r="S95" s="26">
        <v>0</v>
      </c>
      <c r="T95" s="26">
        <v>479</v>
      </c>
      <c r="U95" s="28" t="s">
        <v>115</v>
      </c>
      <c r="V95" s="26"/>
      <c r="W95" s="26">
        <v>0</v>
      </c>
      <c r="X95" s="26">
        <v>0</v>
      </c>
      <c r="Y95" s="26">
        <v>3.6970000000000001</v>
      </c>
      <c r="Z95" s="28" t="s">
        <v>116</v>
      </c>
      <c r="AA95" s="28" t="s">
        <v>117</v>
      </c>
      <c r="AB95" s="26"/>
      <c r="AC95" s="28" t="s">
        <v>118</v>
      </c>
      <c r="AD95" s="28" t="s">
        <v>250</v>
      </c>
      <c r="AE95" s="28" t="s">
        <v>250</v>
      </c>
    </row>
    <row r="96" spans="1:31">
      <c r="A96" s="27">
        <v>45798</v>
      </c>
      <c r="B96" s="27">
        <v>45798</v>
      </c>
      <c r="C96" s="27">
        <v>45798</v>
      </c>
      <c r="D96" s="28" t="s">
        <v>651</v>
      </c>
      <c r="E96" s="28" t="s">
        <v>111</v>
      </c>
      <c r="F96" s="28" t="s">
        <v>134</v>
      </c>
      <c r="G96" s="28" t="s">
        <v>652</v>
      </c>
      <c r="H96" s="28" t="s">
        <v>113</v>
      </c>
      <c r="I96" s="28" t="s">
        <v>135</v>
      </c>
      <c r="J96" s="28" t="s">
        <v>136</v>
      </c>
      <c r="K96" s="28" t="s">
        <v>137</v>
      </c>
      <c r="L96" s="28" t="s">
        <v>114</v>
      </c>
      <c r="M96" s="26">
        <v>100.1</v>
      </c>
      <c r="N96" s="26">
        <v>0</v>
      </c>
      <c r="O96" s="26">
        <v>0</v>
      </c>
      <c r="P96" s="26">
        <v>100.1</v>
      </c>
      <c r="Q96" s="26">
        <v>0</v>
      </c>
      <c r="R96" s="26">
        <v>0</v>
      </c>
      <c r="S96" s="26">
        <v>0</v>
      </c>
      <c r="T96" s="26">
        <v>100.1</v>
      </c>
      <c r="U96" s="28" t="s">
        <v>115</v>
      </c>
      <c r="V96" s="26"/>
      <c r="W96" s="26">
        <v>0</v>
      </c>
      <c r="X96" s="26">
        <v>0</v>
      </c>
      <c r="Y96" s="26">
        <v>3.6970000000000001</v>
      </c>
      <c r="Z96" s="28" t="s">
        <v>116</v>
      </c>
      <c r="AA96" s="28" t="s">
        <v>117</v>
      </c>
      <c r="AB96" s="26"/>
      <c r="AC96" s="28" t="s">
        <v>118</v>
      </c>
      <c r="AD96" s="28" t="s">
        <v>250</v>
      </c>
      <c r="AE96" s="28" t="s">
        <v>250</v>
      </c>
    </row>
    <row r="97" spans="1:31">
      <c r="A97" s="27">
        <v>45799</v>
      </c>
      <c r="B97" s="27">
        <v>45799</v>
      </c>
      <c r="C97" s="27">
        <v>45799</v>
      </c>
      <c r="D97" s="28" t="s">
        <v>653</v>
      </c>
      <c r="E97" s="28" t="s">
        <v>111</v>
      </c>
      <c r="F97" s="28" t="s">
        <v>167</v>
      </c>
      <c r="G97" s="28" t="s">
        <v>654</v>
      </c>
      <c r="H97" s="28" t="s">
        <v>113</v>
      </c>
      <c r="I97" s="28" t="s">
        <v>135</v>
      </c>
      <c r="J97" s="28" t="s">
        <v>136</v>
      </c>
      <c r="K97" s="28" t="s">
        <v>137</v>
      </c>
      <c r="L97" s="28" t="s">
        <v>125</v>
      </c>
      <c r="M97" s="26">
        <v>67</v>
      </c>
      <c r="N97" s="26">
        <v>0</v>
      </c>
      <c r="O97" s="26">
        <v>0</v>
      </c>
      <c r="P97" s="26">
        <v>246.76</v>
      </c>
      <c r="Q97" s="26">
        <v>0</v>
      </c>
      <c r="R97" s="26">
        <v>0</v>
      </c>
      <c r="S97" s="26">
        <v>0</v>
      </c>
      <c r="T97" s="26">
        <v>246.76</v>
      </c>
      <c r="U97" s="28" t="s">
        <v>115</v>
      </c>
      <c r="V97" s="26"/>
      <c r="W97" s="26">
        <v>0</v>
      </c>
      <c r="X97" s="26">
        <v>0</v>
      </c>
      <c r="Y97" s="26">
        <v>3.6829999999999998</v>
      </c>
      <c r="Z97" s="28" t="s">
        <v>116</v>
      </c>
      <c r="AA97" s="28" t="s">
        <v>117</v>
      </c>
      <c r="AB97" s="26"/>
      <c r="AC97" s="28" t="s">
        <v>118</v>
      </c>
      <c r="AD97" s="28" t="s">
        <v>252</v>
      </c>
      <c r="AE97" s="28" t="s">
        <v>252</v>
      </c>
    </row>
    <row r="98" spans="1:31">
      <c r="A98" s="27">
        <v>45799</v>
      </c>
      <c r="B98" s="27">
        <v>45799</v>
      </c>
      <c r="C98" s="27">
        <v>45799</v>
      </c>
      <c r="D98" s="28" t="s">
        <v>260</v>
      </c>
      <c r="E98" s="28" t="s">
        <v>111</v>
      </c>
      <c r="F98" s="28" t="s">
        <v>379</v>
      </c>
      <c r="G98" s="28" t="s">
        <v>380</v>
      </c>
      <c r="H98" s="28" t="s">
        <v>113</v>
      </c>
      <c r="I98" s="28" t="s">
        <v>381</v>
      </c>
      <c r="J98" s="28" t="s">
        <v>382</v>
      </c>
      <c r="K98" s="28" t="s">
        <v>383</v>
      </c>
      <c r="L98" s="28" t="s">
        <v>114</v>
      </c>
      <c r="M98" s="26">
        <v>115.4</v>
      </c>
      <c r="N98" s="26">
        <v>93.06</v>
      </c>
      <c r="O98" s="26">
        <v>0</v>
      </c>
      <c r="P98" s="26">
        <v>5.59</v>
      </c>
      <c r="Q98" s="26">
        <v>0</v>
      </c>
      <c r="R98" s="26">
        <v>16.75</v>
      </c>
      <c r="S98" s="26">
        <v>0</v>
      </c>
      <c r="T98" s="26">
        <v>115.4</v>
      </c>
      <c r="U98" s="28" t="s">
        <v>115</v>
      </c>
      <c r="V98" s="26"/>
      <c r="W98" s="26">
        <v>0</v>
      </c>
      <c r="X98" s="26">
        <v>0</v>
      </c>
      <c r="Y98" s="26">
        <v>3.6829999999999998</v>
      </c>
      <c r="Z98" s="28" t="s">
        <v>116</v>
      </c>
      <c r="AA98" s="28" t="s">
        <v>117</v>
      </c>
      <c r="AB98" s="26"/>
      <c r="AC98" s="28" t="s">
        <v>118</v>
      </c>
      <c r="AD98" s="28" t="s">
        <v>252</v>
      </c>
      <c r="AE98" s="28" t="s">
        <v>252</v>
      </c>
    </row>
    <row r="99" spans="1:31">
      <c r="A99" s="27">
        <v>45799</v>
      </c>
      <c r="B99" s="27">
        <v>45799</v>
      </c>
      <c r="C99" s="27">
        <v>45799</v>
      </c>
      <c r="D99" s="28" t="s">
        <v>655</v>
      </c>
      <c r="E99" s="28" t="s">
        <v>111</v>
      </c>
      <c r="F99" s="28" t="s">
        <v>77</v>
      </c>
      <c r="G99" s="28" t="s">
        <v>656</v>
      </c>
      <c r="H99" s="28" t="s">
        <v>113</v>
      </c>
      <c r="I99" s="28" t="s">
        <v>657</v>
      </c>
      <c r="J99" s="28" t="s">
        <v>658</v>
      </c>
      <c r="K99" s="28" t="s">
        <v>659</v>
      </c>
      <c r="L99" s="28" t="s">
        <v>114</v>
      </c>
      <c r="M99" s="26">
        <v>236</v>
      </c>
      <c r="N99" s="26">
        <v>200</v>
      </c>
      <c r="O99" s="26">
        <v>0</v>
      </c>
      <c r="P99" s="26">
        <v>0</v>
      </c>
      <c r="Q99" s="26">
        <v>0</v>
      </c>
      <c r="R99" s="26">
        <v>36</v>
      </c>
      <c r="S99" s="26">
        <v>0</v>
      </c>
      <c r="T99" s="26">
        <v>236</v>
      </c>
      <c r="U99" s="28" t="s">
        <v>115</v>
      </c>
      <c r="V99" s="26"/>
      <c r="W99" s="26">
        <v>0</v>
      </c>
      <c r="X99" s="26">
        <v>0</v>
      </c>
      <c r="Y99" s="26">
        <v>3.6829999999999998</v>
      </c>
      <c r="Z99" s="28" t="s">
        <v>116</v>
      </c>
      <c r="AA99" s="28" t="s">
        <v>117</v>
      </c>
      <c r="AB99" s="26"/>
      <c r="AC99" s="28" t="s">
        <v>118</v>
      </c>
      <c r="AD99" s="28" t="s">
        <v>252</v>
      </c>
      <c r="AE99" s="28" t="s">
        <v>252</v>
      </c>
    </row>
    <row r="100" spans="1:31">
      <c r="A100" s="27">
        <v>45799</v>
      </c>
      <c r="B100" s="27">
        <v>45799</v>
      </c>
      <c r="C100" s="27">
        <v>45799</v>
      </c>
      <c r="D100" s="28" t="s">
        <v>660</v>
      </c>
      <c r="E100" s="28" t="s">
        <v>111</v>
      </c>
      <c r="F100" s="28" t="s">
        <v>134</v>
      </c>
      <c r="G100" s="28" t="s">
        <v>661</v>
      </c>
      <c r="H100" s="28" t="s">
        <v>113</v>
      </c>
      <c r="I100" s="28" t="s">
        <v>135</v>
      </c>
      <c r="J100" s="28" t="s">
        <v>136</v>
      </c>
      <c r="K100" s="28" t="s">
        <v>137</v>
      </c>
      <c r="L100" s="28" t="s">
        <v>114</v>
      </c>
      <c r="M100" s="26">
        <v>100.4</v>
      </c>
      <c r="N100" s="26">
        <v>0</v>
      </c>
      <c r="O100" s="26">
        <v>0</v>
      </c>
      <c r="P100" s="26">
        <v>100.4</v>
      </c>
      <c r="Q100" s="26">
        <v>0</v>
      </c>
      <c r="R100" s="26">
        <v>0</v>
      </c>
      <c r="S100" s="26">
        <v>0</v>
      </c>
      <c r="T100" s="26">
        <v>100.4</v>
      </c>
      <c r="U100" s="28" t="s">
        <v>115</v>
      </c>
      <c r="V100" s="26"/>
      <c r="W100" s="26">
        <v>0</v>
      </c>
      <c r="X100" s="26">
        <v>0</v>
      </c>
      <c r="Y100" s="26">
        <v>3.6829999999999998</v>
      </c>
      <c r="Z100" s="28" t="s">
        <v>116</v>
      </c>
      <c r="AA100" s="28" t="s">
        <v>117</v>
      </c>
      <c r="AB100" s="26"/>
      <c r="AC100" s="28" t="s">
        <v>118</v>
      </c>
      <c r="AD100" s="28" t="s">
        <v>252</v>
      </c>
      <c r="AE100" s="28" t="s">
        <v>252</v>
      </c>
    </row>
    <row r="101" spans="1:31">
      <c r="A101" s="27">
        <v>45800</v>
      </c>
      <c r="B101" s="27">
        <v>45800</v>
      </c>
      <c r="C101" s="27">
        <v>45800</v>
      </c>
      <c r="D101" s="28" t="s">
        <v>662</v>
      </c>
      <c r="E101" s="28" t="s">
        <v>111</v>
      </c>
      <c r="F101" s="28" t="s">
        <v>134</v>
      </c>
      <c r="G101" s="28" t="s">
        <v>663</v>
      </c>
      <c r="H101" s="28" t="s">
        <v>113</v>
      </c>
      <c r="I101" s="28" t="s">
        <v>135</v>
      </c>
      <c r="J101" s="28" t="s">
        <v>136</v>
      </c>
      <c r="K101" s="28" t="s">
        <v>137</v>
      </c>
      <c r="L101" s="28" t="s">
        <v>114</v>
      </c>
      <c r="M101" s="26">
        <v>107.3</v>
      </c>
      <c r="N101" s="26">
        <v>0</v>
      </c>
      <c r="O101" s="26">
        <v>0</v>
      </c>
      <c r="P101" s="26">
        <v>107.3</v>
      </c>
      <c r="Q101" s="26">
        <v>0</v>
      </c>
      <c r="R101" s="26">
        <v>0</v>
      </c>
      <c r="S101" s="26">
        <v>0</v>
      </c>
      <c r="T101" s="26">
        <v>107.3</v>
      </c>
      <c r="U101" s="28" t="s">
        <v>115</v>
      </c>
      <c r="V101" s="26"/>
      <c r="W101" s="26">
        <v>0</v>
      </c>
      <c r="X101" s="26">
        <v>0</v>
      </c>
      <c r="Y101" s="26">
        <v>3.669</v>
      </c>
      <c r="Z101" s="28" t="s">
        <v>116</v>
      </c>
      <c r="AA101" s="28" t="s">
        <v>117</v>
      </c>
      <c r="AB101" s="26"/>
      <c r="AC101" s="28" t="s">
        <v>118</v>
      </c>
      <c r="AD101" s="28" t="s">
        <v>322</v>
      </c>
      <c r="AE101" s="28" t="s">
        <v>322</v>
      </c>
    </row>
    <row r="102" spans="1:31">
      <c r="A102" s="27">
        <v>45800</v>
      </c>
      <c r="B102" s="27">
        <v>45800</v>
      </c>
      <c r="C102" s="27">
        <v>45800</v>
      </c>
      <c r="D102" s="28" t="s">
        <v>664</v>
      </c>
      <c r="E102" s="28" t="s">
        <v>111</v>
      </c>
      <c r="F102" s="28" t="s">
        <v>558</v>
      </c>
      <c r="G102" s="28" t="s">
        <v>665</v>
      </c>
      <c r="H102" s="28" t="s">
        <v>113</v>
      </c>
      <c r="I102" s="28" t="s">
        <v>140</v>
      </c>
      <c r="J102" s="28" t="s">
        <v>141</v>
      </c>
      <c r="K102" s="28" t="s">
        <v>142</v>
      </c>
      <c r="L102" s="28" t="s">
        <v>114</v>
      </c>
      <c r="M102" s="26">
        <v>14</v>
      </c>
      <c r="N102" s="26">
        <v>0</v>
      </c>
      <c r="O102" s="26">
        <v>0</v>
      </c>
      <c r="P102" s="26">
        <v>14</v>
      </c>
      <c r="Q102" s="26">
        <v>0</v>
      </c>
      <c r="R102" s="26">
        <v>0</v>
      </c>
      <c r="S102" s="26">
        <v>0</v>
      </c>
      <c r="T102" s="26">
        <v>14</v>
      </c>
      <c r="U102" s="28" t="s">
        <v>115</v>
      </c>
      <c r="V102" s="26"/>
      <c r="W102" s="26">
        <v>0</v>
      </c>
      <c r="X102" s="26">
        <v>0</v>
      </c>
      <c r="Y102" s="26">
        <v>3.669</v>
      </c>
      <c r="Z102" s="28" t="s">
        <v>116</v>
      </c>
      <c r="AA102" s="28" t="s">
        <v>117</v>
      </c>
      <c r="AB102" s="26"/>
      <c r="AC102" s="28" t="s">
        <v>118</v>
      </c>
      <c r="AD102" s="28" t="s">
        <v>322</v>
      </c>
      <c r="AE102" s="28" t="s">
        <v>322</v>
      </c>
    </row>
    <row r="103" spans="1:31">
      <c r="A103" s="27">
        <v>45801</v>
      </c>
      <c r="B103" s="27">
        <v>45801</v>
      </c>
      <c r="C103" s="27">
        <v>45801</v>
      </c>
      <c r="D103" s="28" t="s">
        <v>666</v>
      </c>
      <c r="E103" s="28" t="s">
        <v>111</v>
      </c>
      <c r="F103" s="28" t="s">
        <v>77</v>
      </c>
      <c r="G103" s="28" t="s">
        <v>667</v>
      </c>
      <c r="H103" s="28" t="s">
        <v>113</v>
      </c>
      <c r="I103" s="28" t="s">
        <v>657</v>
      </c>
      <c r="J103" s="28" t="s">
        <v>658</v>
      </c>
      <c r="K103" s="28" t="s">
        <v>659</v>
      </c>
      <c r="L103" s="28" t="s">
        <v>114</v>
      </c>
      <c r="M103" s="26">
        <v>1080</v>
      </c>
      <c r="N103" s="26">
        <v>915.25</v>
      </c>
      <c r="O103" s="26">
        <v>0</v>
      </c>
      <c r="P103" s="26">
        <v>0</v>
      </c>
      <c r="Q103" s="26">
        <v>0</v>
      </c>
      <c r="R103" s="26">
        <v>164.75</v>
      </c>
      <c r="S103" s="26">
        <v>0</v>
      </c>
      <c r="T103" s="26">
        <v>1080</v>
      </c>
      <c r="U103" s="28" t="s">
        <v>668</v>
      </c>
      <c r="V103" s="27">
        <v>45814</v>
      </c>
      <c r="W103" s="26">
        <v>0</v>
      </c>
      <c r="X103" s="26">
        <v>0</v>
      </c>
      <c r="Y103" s="26">
        <v>3.665</v>
      </c>
      <c r="Z103" s="28" t="s">
        <v>116</v>
      </c>
      <c r="AA103" s="28" t="s">
        <v>117</v>
      </c>
      <c r="AB103" s="26"/>
      <c r="AC103" s="28" t="s">
        <v>118</v>
      </c>
      <c r="AD103" s="28" t="s">
        <v>669</v>
      </c>
      <c r="AE103" s="28" t="s">
        <v>669</v>
      </c>
    </row>
    <row r="104" spans="1:31">
      <c r="A104" s="27">
        <v>45803</v>
      </c>
      <c r="B104" s="27">
        <v>45803</v>
      </c>
      <c r="C104" s="27">
        <v>45803</v>
      </c>
      <c r="D104" s="28" t="s">
        <v>670</v>
      </c>
      <c r="E104" s="28" t="s">
        <v>111</v>
      </c>
      <c r="F104" s="28" t="s">
        <v>134</v>
      </c>
      <c r="G104" s="28" t="s">
        <v>671</v>
      </c>
      <c r="H104" s="28" t="s">
        <v>113</v>
      </c>
      <c r="I104" s="28" t="s">
        <v>135</v>
      </c>
      <c r="J104" s="28" t="s">
        <v>136</v>
      </c>
      <c r="K104" s="28" t="s">
        <v>137</v>
      </c>
      <c r="L104" s="28" t="s">
        <v>114</v>
      </c>
      <c r="M104" s="26">
        <v>130.6</v>
      </c>
      <c r="N104" s="26">
        <v>0</v>
      </c>
      <c r="O104" s="26">
        <v>0</v>
      </c>
      <c r="P104" s="26">
        <v>130.6</v>
      </c>
      <c r="Q104" s="26">
        <v>0</v>
      </c>
      <c r="R104" s="26">
        <v>0</v>
      </c>
      <c r="S104" s="26">
        <v>0</v>
      </c>
      <c r="T104" s="26">
        <v>130.6</v>
      </c>
      <c r="U104" s="28" t="s">
        <v>115</v>
      </c>
      <c r="V104" s="26"/>
      <c r="W104" s="26">
        <v>0</v>
      </c>
      <c r="X104" s="26">
        <v>0</v>
      </c>
      <c r="Y104" s="26">
        <v>3.665</v>
      </c>
      <c r="Z104" s="28" t="s">
        <v>116</v>
      </c>
      <c r="AA104" s="28" t="s">
        <v>117</v>
      </c>
      <c r="AB104" s="26"/>
      <c r="AC104" s="28" t="s">
        <v>118</v>
      </c>
      <c r="AD104" s="28" t="s">
        <v>672</v>
      </c>
      <c r="AE104" s="28" t="s">
        <v>672</v>
      </c>
    </row>
    <row r="105" spans="1:31">
      <c r="A105" s="27">
        <v>45804</v>
      </c>
      <c r="B105" s="27">
        <v>45804</v>
      </c>
      <c r="C105" s="27">
        <v>45804</v>
      </c>
      <c r="D105" s="28" t="s">
        <v>262</v>
      </c>
      <c r="E105" s="28" t="s">
        <v>111</v>
      </c>
      <c r="F105" s="28" t="s">
        <v>261</v>
      </c>
      <c r="G105" s="28" t="s">
        <v>384</v>
      </c>
      <c r="H105" s="28" t="s">
        <v>113</v>
      </c>
      <c r="I105" s="28" t="s">
        <v>385</v>
      </c>
      <c r="J105" s="28" t="s">
        <v>386</v>
      </c>
      <c r="K105" s="28" t="s">
        <v>387</v>
      </c>
      <c r="L105" s="28" t="s">
        <v>114</v>
      </c>
      <c r="M105" s="26">
        <v>102</v>
      </c>
      <c r="N105" s="26">
        <v>92.73</v>
      </c>
      <c r="O105" s="26">
        <v>0</v>
      </c>
      <c r="P105" s="26">
        <v>0</v>
      </c>
      <c r="Q105" s="26">
        <v>0</v>
      </c>
      <c r="R105" s="26">
        <v>9.27</v>
      </c>
      <c r="S105" s="26">
        <v>0</v>
      </c>
      <c r="T105" s="26">
        <v>102</v>
      </c>
      <c r="U105" s="28" t="s">
        <v>115</v>
      </c>
      <c r="V105" s="26"/>
      <c r="W105" s="26">
        <v>0</v>
      </c>
      <c r="X105" s="26">
        <v>0</v>
      </c>
      <c r="Y105" s="26">
        <v>3.665</v>
      </c>
      <c r="Z105" s="28" t="s">
        <v>116</v>
      </c>
      <c r="AA105" s="28" t="s">
        <v>117</v>
      </c>
      <c r="AB105" s="26"/>
      <c r="AC105" s="28" t="s">
        <v>118</v>
      </c>
      <c r="AD105" s="28" t="s">
        <v>265</v>
      </c>
      <c r="AE105" s="28" t="s">
        <v>265</v>
      </c>
    </row>
    <row r="106" spans="1:31">
      <c r="A106" s="27">
        <v>45804</v>
      </c>
      <c r="B106" s="27">
        <v>45804</v>
      </c>
      <c r="C106" s="27">
        <v>45804</v>
      </c>
      <c r="D106" s="28" t="s">
        <v>673</v>
      </c>
      <c r="E106" s="28" t="s">
        <v>111</v>
      </c>
      <c r="F106" s="28" t="s">
        <v>626</v>
      </c>
      <c r="G106" s="28" t="s">
        <v>674</v>
      </c>
      <c r="H106" s="28" t="s">
        <v>113</v>
      </c>
      <c r="I106" s="28" t="s">
        <v>135</v>
      </c>
      <c r="J106" s="28" t="s">
        <v>136</v>
      </c>
      <c r="K106" s="28" t="s">
        <v>137</v>
      </c>
      <c r="L106" s="28" t="s">
        <v>114</v>
      </c>
      <c r="M106" s="26">
        <v>6.8</v>
      </c>
      <c r="N106" s="26">
        <v>0</v>
      </c>
      <c r="O106" s="26">
        <v>0</v>
      </c>
      <c r="P106" s="26">
        <v>6.8</v>
      </c>
      <c r="Q106" s="26">
        <v>0</v>
      </c>
      <c r="R106" s="26">
        <v>0</v>
      </c>
      <c r="S106" s="26">
        <v>0</v>
      </c>
      <c r="T106" s="26">
        <v>6.8</v>
      </c>
      <c r="U106" s="28" t="s">
        <v>115</v>
      </c>
      <c r="V106" s="26"/>
      <c r="W106" s="26">
        <v>0</v>
      </c>
      <c r="X106" s="26">
        <v>0</v>
      </c>
      <c r="Y106" s="26">
        <v>3.665</v>
      </c>
      <c r="Z106" s="28" t="s">
        <v>116</v>
      </c>
      <c r="AA106" s="28" t="s">
        <v>117</v>
      </c>
      <c r="AB106" s="26"/>
      <c r="AC106" s="28" t="s">
        <v>118</v>
      </c>
      <c r="AD106" s="28" t="s">
        <v>265</v>
      </c>
      <c r="AE106" s="28" t="s">
        <v>265</v>
      </c>
    </row>
    <row r="107" spans="1:31">
      <c r="A107" s="27">
        <v>45804</v>
      </c>
      <c r="B107" s="27">
        <v>45804</v>
      </c>
      <c r="C107" s="27">
        <v>45804</v>
      </c>
      <c r="D107" s="28" t="s">
        <v>675</v>
      </c>
      <c r="E107" s="28" t="s">
        <v>111</v>
      </c>
      <c r="F107" s="28" t="s">
        <v>134</v>
      </c>
      <c r="G107" s="28" t="s">
        <v>676</v>
      </c>
      <c r="H107" s="28" t="s">
        <v>113</v>
      </c>
      <c r="I107" s="28" t="s">
        <v>135</v>
      </c>
      <c r="J107" s="28" t="s">
        <v>136</v>
      </c>
      <c r="K107" s="28" t="s">
        <v>137</v>
      </c>
      <c r="L107" s="28" t="s">
        <v>114</v>
      </c>
      <c r="M107" s="26">
        <v>72.2</v>
      </c>
      <c r="N107" s="26">
        <v>0</v>
      </c>
      <c r="O107" s="26">
        <v>0</v>
      </c>
      <c r="P107" s="26">
        <v>72.2</v>
      </c>
      <c r="Q107" s="26">
        <v>0</v>
      </c>
      <c r="R107" s="26">
        <v>0</v>
      </c>
      <c r="S107" s="26">
        <v>0</v>
      </c>
      <c r="T107" s="26">
        <v>72.2</v>
      </c>
      <c r="U107" s="28" t="s">
        <v>115</v>
      </c>
      <c r="V107" s="26"/>
      <c r="W107" s="26">
        <v>0</v>
      </c>
      <c r="X107" s="26">
        <v>0</v>
      </c>
      <c r="Y107" s="26">
        <v>3.665</v>
      </c>
      <c r="Z107" s="28" t="s">
        <v>116</v>
      </c>
      <c r="AA107" s="28" t="s">
        <v>117</v>
      </c>
      <c r="AB107" s="26"/>
      <c r="AC107" s="28" t="s">
        <v>118</v>
      </c>
      <c r="AD107" s="28" t="s">
        <v>265</v>
      </c>
      <c r="AE107" s="28" t="s">
        <v>265</v>
      </c>
    </row>
    <row r="108" spans="1:31">
      <c r="A108" s="27">
        <v>45804</v>
      </c>
      <c r="B108" s="27">
        <v>45804</v>
      </c>
      <c r="C108" s="27">
        <v>45804</v>
      </c>
      <c r="D108" s="28" t="s">
        <v>677</v>
      </c>
      <c r="E108" s="28" t="s">
        <v>111</v>
      </c>
      <c r="F108" s="28" t="s">
        <v>134</v>
      </c>
      <c r="G108" s="28" t="s">
        <v>678</v>
      </c>
      <c r="H108" s="28" t="s">
        <v>113</v>
      </c>
      <c r="I108" s="28" t="s">
        <v>135</v>
      </c>
      <c r="J108" s="28" t="s">
        <v>136</v>
      </c>
      <c r="K108" s="28" t="s">
        <v>137</v>
      </c>
      <c r="L108" s="28" t="s">
        <v>114</v>
      </c>
      <c r="M108" s="26">
        <v>119.6</v>
      </c>
      <c r="N108" s="26">
        <v>0</v>
      </c>
      <c r="O108" s="26">
        <v>0</v>
      </c>
      <c r="P108" s="26">
        <v>119.6</v>
      </c>
      <c r="Q108" s="26">
        <v>0</v>
      </c>
      <c r="R108" s="26">
        <v>0</v>
      </c>
      <c r="S108" s="26">
        <v>0</v>
      </c>
      <c r="T108" s="26">
        <v>119.6</v>
      </c>
      <c r="U108" s="28" t="s">
        <v>115</v>
      </c>
      <c r="V108" s="26"/>
      <c r="W108" s="26">
        <v>0</v>
      </c>
      <c r="X108" s="26">
        <v>0</v>
      </c>
      <c r="Y108" s="26">
        <v>3.665</v>
      </c>
      <c r="Z108" s="28" t="s">
        <v>116</v>
      </c>
      <c r="AA108" s="28" t="s">
        <v>117</v>
      </c>
      <c r="AB108" s="26"/>
      <c r="AC108" s="28" t="s">
        <v>118</v>
      </c>
      <c r="AD108" s="28" t="s">
        <v>265</v>
      </c>
      <c r="AE108" s="28" t="s">
        <v>265</v>
      </c>
    </row>
    <row r="109" spans="1:31">
      <c r="A109" s="27">
        <v>45804</v>
      </c>
      <c r="B109" s="27">
        <v>45804</v>
      </c>
      <c r="C109" s="27">
        <v>45804</v>
      </c>
      <c r="D109" s="28" t="s">
        <v>679</v>
      </c>
      <c r="E109" s="28" t="s">
        <v>111</v>
      </c>
      <c r="F109" s="28" t="s">
        <v>77</v>
      </c>
      <c r="G109" s="28" t="s">
        <v>680</v>
      </c>
      <c r="H109" s="28" t="s">
        <v>113</v>
      </c>
      <c r="I109" s="28" t="s">
        <v>681</v>
      </c>
      <c r="J109" s="28" t="s">
        <v>682</v>
      </c>
      <c r="K109" s="28" t="s">
        <v>683</v>
      </c>
      <c r="L109" s="28" t="s">
        <v>114</v>
      </c>
      <c r="M109" s="26">
        <v>350</v>
      </c>
      <c r="N109" s="26">
        <v>296.61</v>
      </c>
      <c r="O109" s="26">
        <v>0</v>
      </c>
      <c r="P109" s="26">
        <v>0</v>
      </c>
      <c r="Q109" s="26">
        <v>0</v>
      </c>
      <c r="R109" s="26">
        <v>53.39</v>
      </c>
      <c r="S109" s="26">
        <v>0</v>
      </c>
      <c r="T109" s="26">
        <v>350</v>
      </c>
      <c r="U109" s="28" t="s">
        <v>115</v>
      </c>
      <c r="V109" s="26"/>
      <c r="W109" s="26">
        <v>0</v>
      </c>
      <c r="X109" s="26">
        <v>0</v>
      </c>
      <c r="Y109" s="26">
        <v>3.665</v>
      </c>
      <c r="Z109" s="28" t="s">
        <v>116</v>
      </c>
      <c r="AA109" s="28" t="s">
        <v>117</v>
      </c>
      <c r="AB109" s="26"/>
      <c r="AC109" s="28" t="s">
        <v>118</v>
      </c>
      <c r="AD109" s="28" t="s">
        <v>265</v>
      </c>
      <c r="AE109" s="28" t="s">
        <v>265</v>
      </c>
    </row>
    <row r="110" spans="1:31">
      <c r="A110" s="27">
        <v>45804</v>
      </c>
      <c r="B110" s="27">
        <v>45804</v>
      </c>
      <c r="C110" s="27">
        <v>45804</v>
      </c>
      <c r="D110" s="28" t="s">
        <v>684</v>
      </c>
      <c r="E110" s="28" t="s">
        <v>111</v>
      </c>
      <c r="F110" s="28" t="s">
        <v>77</v>
      </c>
      <c r="G110" s="28" t="s">
        <v>685</v>
      </c>
      <c r="H110" s="28" t="s">
        <v>113</v>
      </c>
      <c r="I110" s="28" t="s">
        <v>686</v>
      </c>
      <c r="J110" s="28" t="s">
        <v>687</v>
      </c>
      <c r="K110" s="28" t="s">
        <v>688</v>
      </c>
      <c r="L110" s="28" t="s">
        <v>114</v>
      </c>
      <c r="M110" s="26">
        <v>300</v>
      </c>
      <c r="N110" s="26">
        <v>254.24</v>
      </c>
      <c r="O110" s="26">
        <v>0</v>
      </c>
      <c r="P110" s="26">
        <v>0</v>
      </c>
      <c r="Q110" s="26">
        <v>0</v>
      </c>
      <c r="R110" s="26">
        <v>45.76</v>
      </c>
      <c r="S110" s="26">
        <v>0</v>
      </c>
      <c r="T110" s="26">
        <v>300</v>
      </c>
      <c r="U110" s="28" t="s">
        <v>115</v>
      </c>
      <c r="V110" s="26"/>
      <c r="W110" s="26">
        <v>0</v>
      </c>
      <c r="X110" s="26">
        <v>0</v>
      </c>
      <c r="Y110" s="26">
        <v>3.665</v>
      </c>
      <c r="Z110" s="28" t="s">
        <v>116</v>
      </c>
      <c r="AA110" s="28" t="s">
        <v>117</v>
      </c>
      <c r="AB110" s="26"/>
      <c r="AC110" s="28" t="s">
        <v>118</v>
      </c>
      <c r="AD110" s="28" t="s">
        <v>265</v>
      </c>
      <c r="AE110" s="28" t="s">
        <v>265</v>
      </c>
    </row>
    <row r="111" spans="1:31">
      <c r="A111" s="27">
        <v>45804</v>
      </c>
      <c r="B111" s="27">
        <v>45804</v>
      </c>
      <c r="C111" s="27">
        <v>45804</v>
      </c>
      <c r="D111" s="28" t="s">
        <v>689</v>
      </c>
      <c r="E111" s="28" t="s">
        <v>111</v>
      </c>
      <c r="F111" s="28" t="s">
        <v>77</v>
      </c>
      <c r="G111" s="28" t="s">
        <v>690</v>
      </c>
      <c r="H111" s="28" t="s">
        <v>113</v>
      </c>
      <c r="I111" s="28" t="s">
        <v>253</v>
      </c>
      <c r="J111" s="28" t="s">
        <v>254</v>
      </c>
      <c r="K111" s="28" t="s">
        <v>255</v>
      </c>
      <c r="L111" s="28" t="s">
        <v>114</v>
      </c>
      <c r="M111" s="26">
        <v>1327.5</v>
      </c>
      <c r="N111" s="26">
        <v>1125</v>
      </c>
      <c r="O111" s="26">
        <v>0</v>
      </c>
      <c r="P111" s="26">
        <v>0</v>
      </c>
      <c r="Q111" s="26">
        <v>0</v>
      </c>
      <c r="R111" s="26">
        <v>202.5</v>
      </c>
      <c r="S111" s="26">
        <v>0</v>
      </c>
      <c r="T111" s="26">
        <v>1327.5</v>
      </c>
      <c r="U111" s="28" t="s">
        <v>691</v>
      </c>
      <c r="V111" s="27">
        <v>45814</v>
      </c>
      <c r="W111" s="26">
        <v>0</v>
      </c>
      <c r="X111" s="26">
        <v>0</v>
      </c>
      <c r="Y111" s="26">
        <v>3.665</v>
      </c>
      <c r="Z111" s="28" t="s">
        <v>116</v>
      </c>
      <c r="AA111" s="28" t="s">
        <v>117</v>
      </c>
      <c r="AB111" s="26"/>
      <c r="AC111" s="28" t="s">
        <v>118</v>
      </c>
      <c r="AD111" s="28" t="s">
        <v>265</v>
      </c>
      <c r="AE111" s="28" t="s">
        <v>265</v>
      </c>
    </row>
    <row r="112" spans="1:31">
      <c r="A112" s="27">
        <v>45805</v>
      </c>
      <c r="B112" s="27">
        <v>45805</v>
      </c>
      <c r="C112" s="27">
        <v>45805</v>
      </c>
      <c r="D112" s="28" t="s">
        <v>692</v>
      </c>
      <c r="E112" s="28" t="s">
        <v>111</v>
      </c>
      <c r="F112" s="28" t="s">
        <v>134</v>
      </c>
      <c r="G112" s="28" t="s">
        <v>693</v>
      </c>
      <c r="H112" s="28" t="s">
        <v>113</v>
      </c>
      <c r="I112" s="28" t="s">
        <v>135</v>
      </c>
      <c r="J112" s="28" t="s">
        <v>136</v>
      </c>
      <c r="K112" s="28" t="s">
        <v>137</v>
      </c>
      <c r="L112" s="28" t="s">
        <v>114</v>
      </c>
      <c r="M112" s="26">
        <v>133.6</v>
      </c>
      <c r="N112" s="26">
        <v>0</v>
      </c>
      <c r="O112" s="26">
        <v>0</v>
      </c>
      <c r="P112" s="26">
        <v>133.6</v>
      </c>
      <c r="Q112" s="26">
        <v>0</v>
      </c>
      <c r="R112" s="26">
        <v>0</v>
      </c>
      <c r="S112" s="26">
        <v>0</v>
      </c>
      <c r="T112" s="26">
        <v>133.6</v>
      </c>
      <c r="U112" s="28" t="s">
        <v>115</v>
      </c>
      <c r="V112" s="26"/>
      <c r="W112" s="26">
        <v>0</v>
      </c>
      <c r="X112" s="26">
        <v>0</v>
      </c>
      <c r="Y112" s="26">
        <v>3.65</v>
      </c>
      <c r="Z112" s="28" t="s">
        <v>116</v>
      </c>
      <c r="AA112" s="28" t="s">
        <v>117</v>
      </c>
      <c r="AB112" s="26"/>
      <c r="AC112" s="28" t="s">
        <v>118</v>
      </c>
      <c r="AD112" s="28" t="s">
        <v>393</v>
      </c>
      <c r="AE112" s="28" t="s">
        <v>393</v>
      </c>
    </row>
    <row r="113" spans="1:31">
      <c r="A113" s="27">
        <v>45805</v>
      </c>
      <c r="B113" s="27">
        <v>45805</v>
      </c>
      <c r="C113" s="27">
        <v>45805</v>
      </c>
      <c r="D113" s="28" t="s">
        <v>694</v>
      </c>
      <c r="E113" s="28" t="s">
        <v>111</v>
      </c>
      <c r="F113" s="28" t="s">
        <v>124</v>
      </c>
      <c r="G113" s="28" t="s">
        <v>695</v>
      </c>
      <c r="H113" s="28" t="s">
        <v>113</v>
      </c>
      <c r="I113" s="28" t="s">
        <v>696</v>
      </c>
      <c r="J113" s="28" t="s">
        <v>697</v>
      </c>
      <c r="K113" s="28" t="s">
        <v>698</v>
      </c>
      <c r="L113" s="28" t="s">
        <v>114</v>
      </c>
      <c r="M113" s="26">
        <v>35</v>
      </c>
      <c r="N113" s="26">
        <v>29.66</v>
      </c>
      <c r="O113" s="26">
        <v>0</v>
      </c>
      <c r="P113" s="26">
        <v>0</v>
      </c>
      <c r="Q113" s="26">
        <v>0</v>
      </c>
      <c r="R113" s="26">
        <v>5.34</v>
      </c>
      <c r="S113" s="26">
        <v>0</v>
      </c>
      <c r="T113" s="26">
        <v>35</v>
      </c>
      <c r="U113" s="28" t="s">
        <v>115</v>
      </c>
      <c r="V113" s="26"/>
      <c r="W113" s="26">
        <v>0</v>
      </c>
      <c r="X113" s="26">
        <v>0</v>
      </c>
      <c r="Y113" s="26">
        <v>3.65</v>
      </c>
      <c r="Z113" s="28" t="s">
        <v>116</v>
      </c>
      <c r="AA113" s="28" t="s">
        <v>117</v>
      </c>
      <c r="AB113" s="26"/>
      <c r="AC113" s="28" t="s">
        <v>118</v>
      </c>
      <c r="AD113" s="28" t="s">
        <v>393</v>
      </c>
      <c r="AE113" s="28" t="s">
        <v>393</v>
      </c>
    </row>
    <row r="114" spans="1:31">
      <c r="A114" s="27">
        <v>45806</v>
      </c>
      <c r="B114" s="27">
        <v>45806</v>
      </c>
      <c r="C114" s="27">
        <v>45806</v>
      </c>
      <c r="D114" s="28" t="s">
        <v>699</v>
      </c>
      <c r="E114" s="28" t="s">
        <v>111</v>
      </c>
      <c r="F114" s="28" t="s">
        <v>134</v>
      </c>
      <c r="G114" s="28" t="s">
        <v>700</v>
      </c>
      <c r="H114" s="28" t="s">
        <v>113</v>
      </c>
      <c r="I114" s="28" t="s">
        <v>135</v>
      </c>
      <c r="J114" s="28" t="s">
        <v>136</v>
      </c>
      <c r="K114" s="28" t="s">
        <v>137</v>
      </c>
      <c r="L114" s="28" t="s">
        <v>114</v>
      </c>
      <c r="M114" s="26">
        <v>137.30000000000001</v>
      </c>
      <c r="N114" s="26">
        <v>0</v>
      </c>
      <c r="O114" s="26">
        <v>0</v>
      </c>
      <c r="P114" s="26">
        <v>137.30000000000001</v>
      </c>
      <c r="Q114" s="26">
        <v>0</v>
      </c>
      <c r="R114" s="26">
        <v>0</v>
      </c>
      <c r="S114" s="26">
        <v>0</v>
      </c>
      <c r="T114" s="26">
        <v>137.30000000000001</v>
      </c>
      <c r="U114" s="28" t="s">
        <v>115</v>
      </c>
      <c r="V114" s="26"/>
      <c r="W114" s="26">
        <v>0</v>
      </c>
      <c r="X114" s="26">
        <v>0</v>
      </c>
      <c r="Y114" s="26">
        <v>3.6480000000000001</v>
      </c>
      <c r="Z114" s="28" t="s">
        <v>116</v>
      </c>
      <c r="AA114" s="28" t="s">
        <v>117</v>
      </c>
      <c r="AB114" s="26"/>
      <c r="AC114" s="28" t="s">
        <v>118</v>
      </c>
      <c r="AD114" s="28" t="s">
        <v>489</v>
      </c>
      <c r="AE114" s="28" t="s">
        <v>489</v>
      </c>
    </row>
    <row r="115" spans="1:31">
      <c r="A115" s="27">
        <v>45806</v>
      </c>
      <c r="B115" s="27">
        <v>45806</v>
      </c>
      <c r="C115" s="27">
        <v>45806</v>
      </c>
      <c r="D115" s="28" t="s">
        <v>701</v>
      </c>
      <c r="E115" s="28" t="s">
        <v>111</v>
      </c>
      <c r="F115" s="28" t="s">
        <v>702</v>
      </c>
      <c r="G115" s="28" t="s">
        <v>703</v>
      </c>
      <c r="H115" s="28" t="s">
        <v>113</v>
      </c>
      <c r="I115" s="28" t="s">
        <v>135</v>
      </c>
      <c r="J115" s="28" t="s">
        <v>136</v>
      </c>
      <c r="K115" s="28" t="s">
        <v>137</v>
      </c>
      <c r="L115" s="28" t="s">
        <v>114</v>
      </c>
      <c r="M115" s="26">
        <v>50.5</v>
      </c>
      <c r="N115" s="26">
        <v>0</v>
      </c>
      <c r="O115" s="26">
        <v>0</v>
      </c>
      <c r="P115" s="26">
        <v>50.5</v>
      </c>
      <c r="Q115" s="26">
        <v>0</v>
      </c>
      <c r="R115" s="26">
        <v>0</v>
      </c>
      <c r="S115" s="26">
        <v>0</v>
      </c>
      <c r="T115" s="26">
        <v>50.5</v>
      </c>
      <c r="U115" s="28" t="s">
        <v>115</v>
      </c>
      <c r="V115" s="26"/>
      <c r="W115" s="26">
        <v>0</v>
      </c>
      <c r="X115" s="26">
        <v>0</v>
      </c>
      <c r="Y115" s="26">
        <v>3.6480000000000001</v>
      </c>
      <c r="Z115" s="28" t="s">
        <v>116</v>
      </c>
      <c r="AA115" s="28" t="s">
        <v>117</v>
      </c>
      <c r="AB115" s="26"/>
      <c r="AC115" s="28" t="s">
        <v>118</v>
      </c>
      <c r="AD115" s="28" t="s">
        <v>489</v>
      </c>
      <c r="AE115" s="28" t="s">
        <v>489</v>
      </c>
    </row>
    <row r="116" spans="1:31">
      <c r="A116" s="27">
        <v>45807</v>
      </c>
      <c r="B116" s="27">
        <v>45807</v>
      </c>
      <c r="C116" s="27">
        <v>45807</v>
      </c>
      <c r="D116" s="28" t="s">
        <v>704</v>
      </c>
      <c r="E116" s="28" t="s">
        <v>111</v>
      </c>
      <c r="F116" s="28" t="s">
        <v>635</v>
      </c>
      <c r="G116" s="28" t="s">
        <v>705</v>
      </c>
      <c r="H116" s="28" t="s">
        <v>113</v>
      </c>
      <c r="I116" s="28" t="s">
        <v>140</v>
      </c>
      <c r="J116" s="28" t="s">
        <v>141</v>
      </c>
      <c r="K116" s="28" t="s">
        <v>142</v>
      </c>
      <c r="L116" s="28" t="s">
        <v>125</v>
      </c>
      <c r="M116" s="26">
        <v>16.8</v>
      </c>
      <c r="N116" s="26">
        <v>0</v>
      </c>
      <c r="O116" s="26">
        <v>0</v>
      </c>
      <c r="P116" s="26">
        <v>61.12</v>
      </c>
      <c r="Q116" s="26">
        <v>0</v>
      </c>
      <c r="R116" s="26">
        <v>0</v>
      </c>
      <c r="S116" s="26">
        <v>0</v>
      </c>
      <c r="T116" s="26">
        <v>61.12</v>
      </c>
      <c r="U116" s="28" t="s">
        <v>115</v>
      </c>
      <c r="V116" s="26"/>
      <c r="W116" s="26">
        <v>0</v>
      </c>
      <c r="X116" s="26">
        <v>0</v>
      </c>
      <c r="Y116" s="26">
        <v>3.6379999999999999</v>
      </c>
      <c r="Z116" s="28" t="s">
        <v>116</v>
      </c>
      <c r="AA116" s="28" t="s">
        <v>117</v>
      </c>
      <c r="AB116" s="26"/>
      <c r="AC116" s="28" t="s">
        <v>118</v>
      </c>
      <c r="AD116" s="28" t="s">
        <v>495</v>
      </c>
      <c r="AE116" s="28" t="s">
        <v>495</v>
      </c>
    </row>
    <row r="117" spans="1:31">
      <c r="A117" s="27">
        <v>45807</v>
      </c>
      <c r="B117" s="27">
        <v>45807</v>
      </c>
      <c r="C117" s="27">
        <v>45807</v>
      </c>
      <c r="D117" s="28" t="s">
        <v>706</v>
      </c>
      <c r="E117" s="28" t="s">
        <v>111</v>
      </c>
      <c r="F117" s="28" t="s">
        <v>134</v>
      </c>
      <c r="G117" s="28" t="s">
        <v>707</v>
      </c>
      <c r="H117" s="28" t="s">
        <v>113</v>
      </c>
      <c r="I117" s="28" t="s">
        <v>135</v>
      </c>
      <c r="J117" s="28" t="s">
        <v>136</v>
      </c>
      <c r="K117" s="28" t="s">
        <v>137</v>
      </c>
      <c r="L117" s="28" t="s">
        <v>114</v>
      </c>
      <c r="M117" s="26">
        <v>154.69999999999999</v>
      </c>
      <c r="N117" s="26">
        <v>0</v>
      </c>
      <c r="O117" s="26">
        <v>0</v>
      </c>
      <c r="P117" s="26">
        <v>154.69999999999999</v>
      </c>
      <c r="Q117" s="26">
        <v>0</v>
      </c>
      <c r="R117" s="26">
        <v>0</v>
      </c>
      <c r="S117" s="26">
        <v>0</v>
      </c>
      <c r="T117" s="26">
        <v>154.69999999999999</v>
      </c>
      <c r="U117" s="28" t="s">
        <v>115</v>
      </c>
      <c r="V117" s="26"/>
      <c r="W117" s="26">
        <v>0</v>
      </c>
      <c r="X117" s="26">
        <v>0</v>
      </c>
      <c r="Y117" s="26">
        <v>3.6379999999999999</v>
      </c>
      <c r="Z117" s="28" t="s">
        <v>116</v>
      </c>
      <c r="AA117" s="28" t="s">
        <v>117</v>
      </c>
      <c r="AB117" s="26"/>
      <c r="AC117" s="28" t="s">
        <v>118</v>
      </c>
      <c r="AD117" s="28" t="s">
        <v>495</v>
      </c>
      <c r="AE117" s="28" t="s">
        <v>495</v>
      </c>
    </row>
    <row r="118" spans="1:31">
      <c r="A118" s="27">
        <v>45807</v>
      </c>
      <c r="B118" s="27">
        <v>45807</v>
      </c>
      <c r="C118" s="27">
        <v>45807</v>
      </c>
      <c r="D118" s="28" t="s">
        <v>708</v>
      </c>
      <c r="E118" s="28" t="s">
        <v>111</v>
      </c>
      <c r="F118" s="28" t="s">
        <v>709</v>
      </c>
      <c r="G118" s="28" t="s">
        <v>710</v>
      </c>
      <c r="H118" s="28" t="s">
        <v>113</v>
      </c>
      <c r="I118" s="28" t="s">
        <v>140</v>
      </c>
      <c r="J118" s="28" t="s">
        <v>141</v>
      </c>
      <c r="K118" s="28" t="s">
        <v>142</v>
      </c>
      <c r="L118" s="28" t="s">
        <v>114</v>
      </c>
      <c r="M118" s="26">
        <v>1</v>
      </c>
      <c r="N118" s="26">
        <v>0</v>
      </c>
      <c r="O118" s="26">
        <v>0</v>
      </c>
      <c r="P118" s="26">
        <v>1</v>
      </c>
      <c r="Q118" s="26">
        <v>0</v>
      </c>
      <c r="R118" s="26">
        <v>0</v>
      </c>
      <c r="S118" s="26">
        <v>0</v>
      </c>
      <c r="T118" s="26">
        <v>1</v>
      </c>
      <c r="U118" s="28" t="s">
        <v>115</v>
      </c>
      <c r="V118" s="26"/>
      <c r="W118" s="26">
        <v>0</v>
      </c>
      <c r="X118" s="26">
        <v>0</v>
      </c>
      <c r="Y118" s="26">
        <v>3.6379999999999999</v>
      </c>
      <c r="Z118" s="28" t="s">
        <v>116</v>
      </c>
      <c r="AA118" s="28" t="s">
        <v>117</v>
      </c>
      <c r="AB118" s="26"/>
      <c r="AC118" s="28" t="s">
        <v>118</v>
      </c>
      <c r="AD118" s="28" t="s">
        <v>495</v>
      </c>
      <c r="AE118" s="28" t="s">
        <v>495</v>
      </c>
    </row>
    <row r="119" spans="1:31">
      <c r="A119" s="27">
        <v>45807</v>
      </c>
      <c r="B119" s="27">
        <v>45807</v>
      </c>
      <c r="C119" s="27">
        <v>45807</v>
      </c>
      <c r="D119" s="28" t="s">
        <v>711</v>
      </c>
      <c r="E119" s="28" t="s">
        <v>111</v>
      </c>
      <c r="F119" s="28" t="s">
        <v>635</v>
      </c>
      <c r="G119" s="28" t="s">
        <v>712</v>
      </c>
      <c r="H119" s="28" t="s">
        <v>113</v>
      </c>
      <c r="I119" s="28" t="s">
        <v>140</v>
      </c>
      <c r="J119" s="28" t="s">
        <v>141</v>
      </c>
      <c r="K119" s="28" t="s">
        <v>142</v>
      </c>
      <c r="L119" s="28" t="s">
        <v>114</v>
      </c>
      <c r="M119" s="26">
        <v>48.5</v>
      </c>
      <c r="N119" s="26">
        <v>0</v>
      </c>
      <c r="O119" s="26">
        <v>0</v>
      </c>
      <c r="P119" s="26">
        <v>48.5</v>
      </c>
      <c r="Q119" s="26">
        <v>0</v>
      </c>
      <c r="R119" s="26">
        <v>0</v>
      </c>
      <c r="S119" s="26">
        <v>0</v>
      </c>
      <c r="T119" s="26">
        <v>48.5</v>
      </c>
      <c r="U119" s="28" t="s">
        <v>115</v>
      </c>
      <c r="V119" s="26"/>
      <c r="W119" s="26">
        <v>0</v>
      </c>
      <c r="X119" s="26">
        <v>0</v>
      </c>
      <c r="Y119" s="26">
        <v>3.6379999999999999</v>
      </c>
      <c r="Z119" s="28" t="s">
        <v>116</v>
      </c>
      <c r="AA119" s="28" t="s">
        <v>117</v>
      </c>
      <c r="AB119" s="26"/>
      <c r="AC119" s="28" t="s">
        <v>118</v>
      </c>
      <c r="AD119" s="28" t="s">
        <v>495</v>
      </c>
      <c r="AE119" s="28" t="s">
        <v>495</v>
      </c>
    </row>
    <row r="120" spans="1:31">
      <c r="A120" s="27">
        <v>45807</v>
      </c>
      <c r="B120" s="27">
        <v>45807</v>
      </c>
      <c r="C120" s="27">
        <v>45807</v>
      </c>
      <c r="D120" s="28" t="s">
        <v>713</v>
      </c>
      <c r="E120" s="28" t="s">
        <v>111</v>
      </c>
      <c r="F120" s="28" t="s">
        <v>714</v>
      </c>
      <c r="G120" s="28" t="s">
        <v>715</v>
      </c>
      <c r="H120" s="28" t="s">
        <v>113</v>
      </c>
      <c r="I120" s="28" t="s">
        <v>716</v>
      </c>
      <c r="J120" s="28" t="s">
        <v>717</v>
      </c>
      <c r="K120" s="28" t="s">
        <v>718</v>
      </c>
      <c r="L120" s="28" t="s">
        <v>114</v>
      </c>
      <c r="M120" s="26">
        <v>454.8</v>
      </c>
      <c r="N120" s="26">
        <v>385.43</v>
      </c>
      <c r="O120" s="26">
        <v>0</v>
      </c>
      <c r="P120" s="26">
        <v>0</v>
      </c>
      <c r="Q120" s="26">
        <v>0</v>
      </c>
      <c r="R120" s="26">
        <v>69.37</v>
      </c>
      <c r="S120" s="26">
        <v>0</v>
      </c>
      <c r="T120" s="26">
        <v>454.8</v>
      </c>
      <c r="U120" s="28" t="s">
        <v>115</v>
      </c>
      <c r="V120" s="26"/>
      <c r="W120" s="26">
        <v>0</v>
      </c>
      <c r="X120" s="26">
        <v>0</v>
      </c>
      <c r="Y120" s="26">
        <v>3.6379999999999999</v>
      </c>
      <c r="Z120" s="28" t="s">
        <v>116</v>
      </c>
      <c r="AA120" s="28" t="s">
        <v>117</v>
      </c>
      <c r="AB120" s="26"/>
      <c r="AC120" s="28" t="s">
        <v>118</v>
      </c>
      <c r="AD120" s="28" t="s">
        <v>495</v>
      </c>
      <c r="AE120" s="28" t="s">
        <v>495</v>
      </c>
    </row>
    <row r="121" spans="1:31">
      <c r="A121" s="27">
        <v>45808</v>
      </c>
      <c r="B121" s="27">
        <v>45808</v>
      </c>
      <c r="C121" s="27">
        <v>45808</v>
      </c>
      <c r="D121" s="28" t="s">
        <v>719</v>
      </c>
      <c r="E121" s="28" t="s">
        <v>111</v>
      </c>
      <c r="F121" s="28" t="s">
        <v>112</v>
      </c>
      <c r="G121" s="28" t="s">
        <v>720</v>
      </c>
      <c r="H121" s="28" t="s">
        <v>113</v>
      </c>
      <c r="I121" s="28" t="s">
        <v>721</v>
      </c>
      <c r="J121" s="28" t="s">
        <v>722</v>
      </c>
      <c r="K121" s="28" t="s">
        <v>723</v>
      </c>
      <c r="L121" s="28" t="s">
        <v>114</v>
      </c>
      <c r="M121" s="26">
        <v>227.3</v>
      </c>
      <c r="N121" s="26">
        <v>192.63</v>
      </c>
      <c r="O121" s="26">
        <v>0</v>
      </c>
      <c r="P121" s="26">
        <v>0</v>
      </c>
      <c r="Q121" s="26">
        <v>0</v>
      </c>
      <c r="R121" s="26">
        <v>34.67</v>
      </c>
      <c r="S121" s="26">
        <v>0</v>
      </c>
      <c r="T121" s="26">
        <v>227.3</v>
      </c>
      <c r="U121" s="28" t="s">
        <v>115</v>
      </c>
      <c r="V121" s="26"/>
      <c r="W121" s="26">
        <v>0</v>
      </c>
      <c r="X121" s="26">
        <v>0</v>
      </c>
      <c r="Y121" s="26">
        <v>3.6320000000000001</v>
      </c>
      <c r="Z121" s="28" t="s">
        <v>116</v>
      </c>
      <c r="AA121" s="28" t="s">
        <v>117</v>
      </c>
      <c r="AB121" s="26"/>
      <c r="AC121" s="28" t="s">
        <v>118</v>
      </c>
      <c r="AD121" s="28" t="s">
        <v>724</v>
      </c>
      <c r="AE121" s="28" t="s">
        <v>724</v>
      </c>
    </row>
    <row r="122" spans="1:31">
      <c r="A122" s="27">
        <v>45808</v>
      </c>
      <c r="B122" s="27">
        <v>45808</v>
      </c>
      <c r="C122" s="27">
        <v>45808</v>
      </c>
      <c r="D122" s="28" t="s">
        <v>725</v>
      </c>
      <c r="E122" s="28" t="s">
        <v>111</v>
      </c>
      <c r="F122" s="28" t="s">
        <v>112</v>
      </c>
      <c r="G122" s="28" t="s">
        <v>726</v>
      </c>
      <c r="H122" s="28" t="s">
        <v>113</v>
      </c>
      <c r="I122" s="28" t="s">
        <v>721</v>
      </c>
      <c r="J122" s="28" t="s">
        <v>722</v>
      </c>
      <c r="K122" s="28" t="s">
        <v>723</v>
      </c>
      <c r="L122" s="28" t="s">
        <v>114</v>
      </c>
      <c r="M122" s="26">
        <v>53.22</v>
      </c>
      <c r="N122" s="26">
        <v>45.1</v>
      </c>
      <c r="O122" s="26">
        <v>0</v>
      </c>
      <c r="P122" s="26">
        <v>0</v>
      </c>
      <c r="Q122" s="26">
        <v>0</v>
      </c>
      <c r="R122" s="26">
        <v>8.1199999999999992</v>
      </c>
      <c r="S122" s="26">
        <v>0</v>
      </c>
      <c r="T122" s="26">
        <v>53.22</v>
      </c>
      <c r="U122" s="28" t="s">
        <v>115</v>
      </c>
      <c r="V122" s="26"/>
      <c r="W122" s="26">
        <v>0</v>
      </c>
      <c r="X122" s="26">
        <v>0</v>
      </c>
      <c r="Y122" s="26">
        <v>3.6320000000000001</v>
      </c>
      <c r="Z122" s="28" t="s">
        <v>116</v>
      </c>
      <c r="AA122" s="28" t="s">
        <v>117</v>
      </c>
      <c r="AB122" s="26"/>
      <c r="AC122" s="28" t="s">
        <v>118</v>
      </c>
      <c r="AD122" s="28" t="s">
        <v>724</v>
      </c>
      <c r="AE122" s="28" t="s">
        <v>724</v>
      </c>
    </row>
    <row r="123" spans="1:31">
      <c r="A123" s="27">
        <v>45808</v>
      </c>
      <c r="B123" s="27">
        <v>45838</v>
      </c>
      <c r="C123" s="27">
        <v>45808</v>
      </c>
      <c r="D123" s="28" t="s">
        <v>727</v>
      </c>
      <c r="E123" s="28" t="s">
        <v>111</v>
      </c>
      <c r="F123" s="28" t="s">
        <v>112</v>
      </c>
      <c r="G123" s="28" t="s">
        <v>728</v>
      </c>
      <c r="H123" s="28" t="s">
        <v>113</v>
      </c>
      <c r="I123" s="28" t="s">
        <v>721</v>
      </c>
      <c r="J123" s="28" t="s">
        <v>722</v>
      </c>
      <c r="K123" s="28" t="s">
        <v>723</v>
      </c>
      <c r="L123" s="28" t="s">
        <v>114</v>
      </c>
      <c r="M123" s="26">
        <v>1</v>
      </c>
      <c r="N123" s="26">
        <v>0.85</v>
      </c>
      <c r="O123" s="26">
        <v>0</v>
      </c>
      <c r="P123" s="26">
        <v>0</v>
      </c>
      <c r="Q123" s="26">
        <v>0</v>
      </c>
      <c r="R123" s="26">
        <v>0.15</v>
      </c>
      <c r="S123" s="26">
        <v>0</v>
      </c>
      <c r="T123" s="26">
        <v>1</v>
      </c>
      <c r="U123" s="28" t="s">
        <v>115</v>
      </c>
      <c r="V123" s="26"/>
      <c r="W123" s="26">
        <v>0</v>
      </c>
      <c r="X123" s="26">
        <v>0</v>
      </c>
      <c r="Y123" s="26">
        <v>3.6320000000000001</v>
      </c>
      <c r="Z123" s="28" t="s">
        <v>116</v>
      </c>
      <c r="AA123" s="28" t="s">
        <v>117</v>
      </c>
      <c r="AB123" s="26"/>
      <c r="AC123" s="28" t="s">
        <v>118</v>
      </c>
      <c r="AD123" s="28" t="s">
        <v>724</v>
      </c>
      <c r="AE123" s="28" t="s">
        <v>724</v>
      </c>
    </row>
    <row r="124" spans="1:31">
      <c r="A124" s="27">
        <v>45782</v>
      </c>
      <c r="B124" s="27">
        <v>45787</v>
      </c>
      <c r="C124" s="27">
        <v>45792</v>
      </c>
      <c r="D124" s="28" t="s">
        <v>174</v>
      </c>
      <c r="E124" s="28" t="s">
        <v>175</v>
      </c>
      <c r="F124" s="28" t="s">
        <v>388</v>
      </c>
      <c r="G124" s="28" t="s">
        <v>389</v>
      </c>
      <c r="H124" s="28" t="s">
        <v>33</v>
      </c>
      <c r="I124" s="28" t="s">
        <v>176</v>
      </c>
      <c r="J124" s="28" t="s">
        <v>390</v>
      </c>
      <c r="K124" s="28" t="s">
        <v>391</v>
      </c>
      <c r="L124" s="28" t="s">
        <v>125</v>
      </c>
      <c r="M124" s="26">
        <v>79246.16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290437.18</v>
      </c>
      <c r="U124" s="28" t="s">
        <v>115</v>
      </c>
      <c r="V124" s="26"/>
      <c r="W124" s="26">
        <v>290437.18</v>
      </c>
      <c r="X124" s="26">
        <v>0</v>
      </c>
      <c r="Y124" s="26">
        <v>3.665</v>
      </c>
      <c r="Z124" s="28" t="s">
        <v>116</v>
      </c>
      <c r="AA124" s="28" t="s">
        <v>117</v>
      </c>
      <c r="AB124" s="26"/>
      <c r="AC124" s="28" t="s">
        <v>118</v>
      </c>
      <c r="AD124" s="28" t="s">
        <v>207</v>
      </c>
      <c r="AE124" s="28" t="s">
        <v>220</v>
      </c>
    </row>
    <row r="125" spans="1:31">
      <c r="A125" s="27">
        <v>45792</v>
      </c>
      <c r="B125" s="27">
        <v>45797</v>
      </c>
      <c r="C125" s="27">
        <v>45805</v>
      </c>
      <c r="D125" s="28" t="s">
        <v>264</v>
      </c>
      <c r="E125" s="28" t="s">
        <v>175</v>
      </c>
      <c r="F125" s="28" t="s">
        <v>388</v>
      </c>
      <c r="G125" s="28" t="s">
        <v>392</v>
      </c>
      <c r="H125" s="28" t="s">
        <v>33</v>
      </c>
      <c r="I125" s="28" t="s">
        <v>176</v>
      </c>
      <c r="J125" s="28" t="s">
        <v>390</v>
      </c>
      <c r="K125" s="28" t="s">
        <v>391</v>
      </c>
      <c r="L125" s="28" t="s">
        <v>125</v>
      </c>
      <c r="M125" s="26">
        <v>66151.600000000006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243570.19</v>
      </c>
      <c r="U125" s="28" t="s">
        <v>115</v>
      </c>
      <c r="V125" s="26"/>
      <c r="W125" s="26">
        <v>243570.19</v>
      </c>
      <c r="X125" s="26">
        <v>0</v>
      </c>
      <c r="Y125" s="26">
        <v>3.6819999999999999</v>
      </c>
      <c r="Z125" s="28" t="s">
        <v>116</v>
      </c>
      <c r="AA125" s="28" t="s">
        <v>117</v>
      </c>
      <c r="AB125" s="26"/>
      <c r="AC125" s="28" t="s">
        <v>118</v>
      </c>
      <c r="AD125" s="28" t="s">
        <v>220</v>
      </c>
      <c r="AE125" s="28" t="s">
        <v>393</v>
      </c>
    </row>
    <row r="126" spans="1:31">
      <c r="A126" s="27">
        <v>45783</v>
      </c>
      <c r="B126" s="27">
        <v>45783</v>
      </c>
      <c r="C126" s="27">
        <v>45783</v>
      </c>
      <c r="D126" s="28" t="s">
        <v>266</v>
      </c>
      <c r="E126" s="28" t="s">
        <v>111</v>
      </c>
      <c r="F126" s="28" t="s">
        <v>112</v>
      </c>
      <c r="G126" s="28" t="s">
        <v>394</v>
      </c>
      <c r="H126" s="28" t="s">
        <v>113</v>
      </c>
      <c r="I126" s="28" t="s">
        <v>267</v>
      </c>
      <c r="J126" s="28" t="s">
        <v>268</v>
      </c>
      <c r="K126" s="28" t="s">
        <v>269</v>
      </c>
      <c r="L126" s="28" t="s">
        <v>114</v>
      </c>
      <c r="M126" s="26">
        <v>26929.59</v>
      </c>
      <c r="N126" s="26">
        <v>22821.69</v>
      </c>
      <c r="O126" s="26">
        <v>0</v>
      </c>
      <c r="P126" s="26">
        <v>0</v>
      </c>
      <c r="Q126" s="26">
        <v>0</v>
      </c>
      <c r="R126" s="26">
        <v>4107.8999999999996</v>
      </c>
      <c r="S126" s="26">
        <v>0</v>
      </c>
      <c r="T126" s="26">
        <v>26929.59</v>
      </c>
      <c r="U126" s="28" t="s">
        <v>115</v>
      </c>
      <c r="V126" s="26"/>
      <c r="W126" s="26">
        <v>0</v>
      </c>
      <c r="X126" s="26">
        <v>0</v>
      </c>
      <c r="Y126" s="26">
        <v>3.6619999999999999</v>
      </c>
      <c r="Z126" s="28" t="s">
        <v>116</v>
      </c>
      <c r="AA126" s="28" t="s">
        <v>117</v>
      </c>
      <c r="AB126" s="26"/>
      <c r="AC126" s="28" t="s">
        <v>118</v>
      </c>
      <c r="AD126" s="28" t="s">
        <v>208</v>
      </c>
      <c r="AE126" s="28" t="s">
        <v>208</v>
      </c>
    </row>
    <row r="127" spans="1:31">
      <c r="A127" s="27">
        <v>45789</v>
      </c>
      <c r="B127" s="27">
        <v>45789</v>
      </c>
      <c r="C127" s="27">
        <v>45789</v>
      </c>
      <c r="D127" s="28" t="s">
        <v>729</v>
      </c>
      <c r="E127" s="28" t="s">
        <v>111</v>
      </c>
      <c r="F127" s="28" t="s">
        <v>112</v>
      </c>
      <c r="G127" s="28" t="s">
        <v>730</v>
      </c>
      <c r="H127" s="28" t="s">
        <v>113</v>
      </c>
      <c r="I127" s="28" t="s">
        <v>267</v>
      </c>
      <c r="J127" s="28" t="s">
        <v>268</v>
      </c>
      <c r="K127" s="28" t="s">
        <v>269</v>
      </c>
      <c r="L127" s="28" t="s">
        <v>114</v>
      </c>
      <c r="M127" s="26">
        <v>136609.21</v>
      </c>
      <c r="N127" s="26">
        <v>115770.52</v>
      </c>
      <c r="O127" s="26">
        <v>0</v>
      </c>
      <c r="P127" s="26">
        <v>0</v>
      </c>
      <c r="Q127" s="26">
        <v>0</v>
      </c>
      <c r="R127" s="26">
        <v>20838.689999999999</v>
      </c>
      <c r="S127" s="26">
        <v>0</v>
      </c>
      <c r="T127" s="26">
        <v>136609.21</v>
      </c>
      <c r="U127" s="28" t="s">
        <v>731</v>
      </c>
      <c r="V127" s="27">
        <v>45814</v>
      </c>
      <c r="W127" s="26">
        <v>0</v>
      </c>
      <c r="X127" s="26">
        <v>0</v>
      </c>
      <c r="Y127" s="26">
        <v>3.645</v>
      </c>
      <c r="Z127" s="28" t="s">
        <v>116</v>
      </c>
      <c r="AA127" s="28" t="s">
        <v>117</v>
      </c>
      <c r="AB127" s="26"/>
      <c r="AC127" s="28" t="s">
        <v>118</v>
      </c>
      <c r="AD127" s="28" t="s">
        <v>270</v>
      </c>
      <c r="AE127" s="28" t="s">
        <v>270</v>
      </c>
    </row>
    <row r="128" spans="1:31">
      <c r="A128" s="27">
        <v>45808</v>
      </c>
      <c r="B128" s="27">
        <v>45808</v>
      </c>
      <c r="C128" s="27">
        <v>45808</v>
      </c>
      <c r="D128" s="28" t="s">
        <v>732</v>
      </c>
      <c r="E128" s="28" t="s">
        <v>111</v>
      </c>
      <c r="F128" s="28" t="s">
        <v>112</v>
      </c>
      <c r="G128" s="28" t="s">
        <v>733</v>
      </c>
      <c r="H128" s="28" t="s">
        <v>113</v>
      </c>
      <c r="I128" s="28" t="s">
        <v>292</v>
      </c>
      <c r="J128" s="28" t="s">
        <v>293</v>
      </c>
      <c r="K128" s="28" t="s">
        <v>294</v>
      </c>
      <c r="L128" s="28" t="s">
        <v>114</v>
      </c>
      <c r="M128" s="26">
        <v>8666.0400000000009</v>
      </c>
      <c r="N128" s="26">
        <v>7344.1</v>
      </c>
      <c r="O128" s="26">
        <v>0</v>
      </c>
      <c r="P128" s="26">
        <v>0</v>
      </c>
      <c r="Q128" s="26">
        <v>0</v>
      </c>
      <c r="R128" s="26">
        <v>1321.94</v>
      </c>
      <c r="S128" s="26">
        <v>0</v>
      </c>
      <c r="T128" s="26">
        <v>8666.0400000000009</v>
      </c>
      <c r="U128" s="28" t="s">
        <v>734</v>
      </c>
      <c r="V128" s="27">
        <v>45814</v>
      </c>
      <c r="W128" s="26">
        <v>0</v>
      </c>
      <c r="X128" s="26">
        <v>0</v>
      </c>
      <c r="Y128" s="26">
        <v>3.6320000000000001</v>
      </c>
      <c r="Z128" s="28" t="s">
        <v>116</v>
      </c>
      <c r="AA128" s="28" t="s">
        <v>117</v>
      </c>
      <c r="AB128" s="26"/>
      <c r="AC128" s="28" t="s">
        <v>118</v>
      </c>
      <c r="AD128" s="28" t="s">
        <v>724</v>
      </c>
      <c r="AE128" s="28" t="s">
        <v>724</v>
      </c>
    </row>
    <row r="129" spans="1:31">
      <c r="A129" s="27">
        <v>45780</v>
      </c>
      <c r="B129" s="26"/>
      <c r="C129" s="27">
        <v>45800</v>
      </c>
      <c r="D129" s="28" t="s">
        <v>735</v>
      </c>
      <c r="E129" s="28" t="s">
        <v>111</v>
      </c>
      <c r="F129" s="28" t="s">
        <v>736</v>
      </c>
      <c r="G129" s="28" t="s">
        <v>737</v>
      </c>
      <c r="H129" s="28" t="s">
        <v>113</v>
      </c>
      <c r="I129" s="28" t="s">
        <v>738</v>
      </c>
      <c r="J129" s="28" t="s">
        <v>739</v>
      </c>
      <c r="K129" s="28" t="s">
        <v>740</v>
      </c>
      <c r="L129" s="28" t="s">
        <v>114</v>
      </c>
      <c r="M129" s="26">
        <v>180.82</v>
      </c>
      <c r="N129" s="26">
        <v>0</v>
      </c>
      <c r="O129" s="26">
        <v>0</v>
      </c>
      <c r="P129" s="26">
        <v>180.82</v>
      </c>
      <c r="Q129" s="26">
        <v>0</v>
      </c>
      <c r="R129" s="26">
        <v>0</v>
      </c>
      <c r="S129" s="26">
        <v>0</v>
      </c>
      <c r="T129" s="26">
        <v>180.82</v>
      </c>
      <c r="U129" s="28" t="s">
        <v>115</v>
      </c>
      <c r="V129" s="26"/>
      <c r="W129" s="26">
        <v>0</v>
      </c>
      <c r="X129" s="26">
        <v>0</v>
      </c>
      <c r="Y129" s="26">
        <v>3.665</v>
      </c>
      <c r="Z129" s="28" t="s">
        <v>116</v>
      </c>
      <c r="AA129" s="28" t="s">
        <v>117</v>
      </c>
      <c r="AB129" s="26"/>
      <c r="AC129" s="28" t="s">
        <v>118</v>
      </c>
      <c r="AD129" s="28" t="s">
        <v>295</v>
      </c>
      <c r="AE129" s="28" t="s">
        <v>322</v>
      </c>
    </row>
    <row r="130" spans="1:31">
      <c r="A130" s="27">
        <v>45782</v>
      </c>
      <c r="B130" s="26"/>
      <c r="C130" s="27">
        <v>45800</v>
      </c>
      <c r="D130" s="28" t="s">
        <v>741</v>
      </c>
      <c r="E130" s="28" t="s">
        <v>111</v>
      </c>
      <c r="F130" s="28" t="s">
        <v>77</v>
      </c>
      <c r="G130" s="28" t="s">
        <v>742</v>
      </c>
      <c r="H130" s="28" t="s">
        <v>113</v>
      </c>
      <c r="I130" s="28" t="s">
        <v>743</v>
      </c>
      <c r="J130" s="28" t="s">
        <v>744</v>
      </c>
      <c r="K130" s="28" t="s">
        <v>745</v>
      </c>
      <c r="L130" s="28" t="s">
        <v>114</v>
      </c>
      <c r="M130" s="26">
        <v>49.5</v>
      </c>
      <c r="N130" s="26">
        <v>41.95</v>
      </c>
      <c r="O130" s="26">
        <v>0</v>
      </c>
      <c r="P130" s="26">
        <v>0</v>
      </c>
      <c r="Q130" s="26">
        <v>0</v>
      </c>
      <c r="R130" s="26">
        <v>7.55</v>
      </c>
      <c r="S130" s="26">
        <v>0</v>
      </c>
      <c r="T130" s="26">
        <v>49.5</v>
      </c>
      <c r="U130" s="28" t="s">
        <v>115</v>
      </c>
      <c r="V130" s="26"/>
      <c r="W130" s="26">
        <v>0</v>
      </c>
      <c r="X130" s="26">
        <v>0</v>
      </c>
      <c r="Y130" s="26">
        <v>3.665</v>
      </c>
      <c r="Z130" s="28" t="s">
        <v>116</v>
      </c>
      <c r="AA130" s="28" t="s">
        <v>117</v>
      </c>
      <c r="AB130" s="26"/>
      <c r="AC130" s="28" t="s">
        <v>118</v>
      </c>
      <c r="AD130" s="28" t="s">
        <v>207</v>
      </c>
      <c r="AE130" s="28" t="s">
        <v>322</v>
      </c>
    </row>
    <row r="131" spans="1:31">
      <c r="A131" s="27">
        <v>45783</v>
      </c>
      <c r="B131" s="26"/>
      <c r="C131" s="27">
        <v>45800</v>
      </c>
      <c r="D131" s="28" t="s">
        <v>746</v>
      </c>
      <c r="E131" s="28" t="s">
        <v>111</v>
      </c>
      <c r="F131" s="28" t="s">
        <v>124</v>
      </c>
      <c r="G131" s="28" t="s">
        <v>747</v>
      </c>
      <c r="H131" s="28" t="s">
        <v>113</v>
      </c>
      <c r="I131" s="28" t="s">
        <v>748</v>
      </c>
      <c r="J131" s="28" t="s">
        <v>749</v>
      </c>
      <c r="K131" s="28" t="s">
        <v>750</v>
      </c>
      <c r="L131" s="28" t="s">
        <v>114</v>
      </c>
      <c r="M131" s="26">
        <v>16</v>
      </c>
      <c r="N131" s="26">
        <v>13.56</v>
      </c>
      <c r="O131" s="26">
        <v>0</v>
      </c>
      <c r="P131" s="26">
        <v>0</v>
      </c>
      <c r="Q131" s="26">
        <v>0</v>
      </c>
      <c r="R131" s="26">
        <v>2.44</v>
      </c>
      <c r="S131" s="26">
        <v>0</v>
      </c>
      <c r="T131" s="26">
        <v>16</v>
      </c>
      <c r="U131" s="28" t="s">
        <v>115</v>
      </c>
      <c r="V131" s="26"/>
      <c r="W131" s="26">
        <v>0</v>
      </c>
      <c r="X131" s="26">
        <v>0</v>
      </c>
      <c r="Y131" s="26">
        <v>3.6619999999999999</v>
      </c>
      <c r="Z131" s="28" t="s">
        <v>116</v>
      </c>
      <c r="AA131" s="28" t="s">
        <v>117</v>
      </c>
      <c r="AB131" s="26"/>
      <c r="AC131" s="28" t="s">
        <v>118</v>
      </c>
      <c r="AD131" s="28" t="s">
        <v>208</v>
      </c>
      <c r="AE131" s="28" t="s">
        <v>322</v>
      </c>
    </row>
    <row r="132" spans="1:31">
      <c r="A132" s="27">
        <v>45784</v>
      </c>
      <c r="B132" s="26"/>
      <c r="C132" s="27">
        <v>45800</v>
      </c>
      <c r="D132" s="28" t="s">
        <v>751</v>
      </c>
      <c r="E132" s="28" t="s">
        <v>111</v>
      </c>
      <c r="F132" s="28" t="s">
        <v>349</v>
      </c>
      <c r="G132" s="28" t="s">
        <v>752</v>
      </c>
      <c r="H132" s="28" t="s">
        <v>113</v>
      </c>
      <c r="I132" s="28" t="s">
        <v>351</v>
      </c>
      <c r="J132" s="28" t="s">
        <v>352</v>
      </c>
      <c r="K132" s="28" t="s">
        <v>353</v>
      </c>
      <c r="L132" s="28" t="s">
        <v>114</v>
      </c>
      <c r="M132" s="26">
        <v>54.16</v>
      </c>
      <c r="N132" s="26">
        <v>45.89</v>
      </c>
      <c r="O132" s="26">
        <v>0</v>
      </c>
      <c r="P132" s="26">
        <v>0</v>
      </c>
      <c r="Q132" s="26">
        <v>0</v>
      </c>
      <c r="R132" s="26">
        <v>8.27</v>
      </c>
      <c r="S132" s="26">
        <v>0</v>
      </c>
      <c r="T132" s="26">
        <v>54.16</v>
      </c>
      <c r="U132" s="28" t="s">
        <v>115</v>
      </c>
      <c r="V132" s="26"/>
      <c r="W132" s="26">
        <v>0</v>
      </c>
      <c r="X132" s="26">
        <v>0</v>
      </c>
      <c r="Y132" s="26">
        <v>3.6629999999999998</v>
      </c>
      <c r="Z132" s="28" t="s">
        <v>116</v>
      </c>
      <c r="AA132" s="28" t="s">
        <v>117</v>
      </c>
      <c r="AB132" s="26"/>
      <c r="AC132" s="28" t="s">
        <v>118</v>
      </c>
      <c r="AD132" s="28" t="s">
        <v>217</v>
      </c>
      <c r="AE132" s="28" t="s">
        <v>322</v>
      </c>
    </row>
    <row r="133" spans="1:31">
      <c r="A133" s="27">
        <v>45785</v>
      </c>
      <c r="B133" s="26"/>
      <c r="C133" s="27">
        <v>45800</v>
      </c>
      <c r="D133" s="28" t="s">
        <v>753</v>
      </c>
      <c r="E133" s="28" t="s">
        <v>111</v>
      </c>
      <c r="F133" s="28" t="s">
        <v>754</v>
      </c>
      <c r="G133" s="28" t="s">
        <v>755</v>
      </c>
      <c r="H133" s="28" t="s">
        <v>113</v>
      </c>
      <c r="I133" s="28" t="s">
        <v>351</v>
      </c>
      <c r="J133" s="28" t="s">
        <v>352</v>
      </c>
      <c r="K133" s="28" t="s">
        <v>353</v>
      </c>
      <c r="L133" s="28" t="s">
        <v>114</v>
      </c>
      <c r="M133" s="26">
        <v>35.200000000000003</v>
      </c>
      <c r="N133" s="26">
        <v>29.83</v>
      </c>
      <c r="O133" s="26">
        <v>0</v>
      </c>
      <c r="P133" s="26">
        <v>0</v>
      </c>
      <c r="Q133" s="26">
        <v>0</v>
      </c>
      <c r="R133" s="26">
        <v>5.37</v>
      </c>
      <c r="S133" s="26">
        <v>0</v>
      </c>
      <c r="T133" s="26">
        <v>35.200000000000003</v>
      </c>
      <c r="U133" s="28" t="s">
        <v>115</v>
      </c>
      <c r="V133" s="26"/>
      <c r="W133" s="26">
        <v>0</v>
      </c>
      <c r="X133" s="26">
        <v>0</v>
      </c>
      <c r="Y133" s="26">
        <v>3.6579999999999999</v>
      </c>
      <c r="Z133" s="28" t="s">
        <v>116</v>
      </c>
      <c r="AA133" s="28" t="s">
        <v>117</v>
      </c>
      <c r="AB133" s="26"/>
      <c r="AC133" s="28" t="s">
        <v>118</v>
      </c>
      <c r="AD133" s="28" t="s">
        <v>218</v>
      </c>
      <c r="AE133" s="28" t="s">
        <v>322</v>
      </c>
    </row>
    <row r="134" spans="1:31">
      <c r="A134" s="27">
        <v>45790</v>
      </c>
      <c r="B134" s="26"/>
      <c r="C134" s="27">
        <v>45800</v>
      </c>
      <c r="D134" s="28" t="s">
        <v>756</v>
      </c>
      <c r="E134" s="28" t="s">
        <v>111</v>
      </c>
      <c r="F134" s="28" t="s">
        <v>77</v>
      </c>
      <c r="G134" s="28" t="s">
        <v>757</v>
      </c>
      <c r="H134" s="28" t="s">
        <v>113</v>
      </c>
      <c r="I134" s="28" t="s">
        <v>758</v>
      </c>
      <c r="J134" s="28" t="s">
        <v>759</v>
      </c>
      <c r="K134" s="28" t="s">
        <v>760</v>
      </c>
      <c r="L134" s="28" t="s">
        <v>114</v>
      </c>
      <c r="M134" s="26">
        <v>24</v>
      </c>
      <c r="N134" s="26">
        <v>20.34</v>
      </c>
      <c r="O134" s="26">
        <v>0</v>
      </c>
      <c r="P134" s="26">
        <v>0</v>
      </c>
      <c r="Q134" s="26">
        <v>0</v>
      </c>
      <c r="R134" s="26">
        <v>3.66</v>
      </c>
      <c r="S134" s="26">
        <v>0</v>
      </c>
      <c r="T134" s="26">
        <v>24</v>
      </c>
      <c r="U134" s="28" t="s">
        <v>115</v>
      </c>
      <c r="V134" s="26"/>
      <c r="W134" s="26">
        <v>0</v>
      </c>
      <c r="X134" s="26">
        <v>0</v>
      </c>
      <c r="Y134" s="26">
        <v>3.6619999999999999</v>
      </c>
      <c r="Z134" s="28" t="s">
        <v>116</v>
      </c>
      <c r="AA134" s="28" t="s">
        <v>117</v>
      </c>
      <c r="AB134" s="26"/>
      <c r="AC134" s="28" t="s">
        <v>118</v>
      </c>
      <c r="AD134" s="28" t="s">
        <v>209</v>
      </c>
      <c r="AE134" s="28" t="s">
        <v>322</v>
      </c>
    </row>
    <row r="135" spans="1:31">
      <c r="A135" s="27">
        <v>45792</v>
      </c>
      <c r="B135" s="26"/>
      <c r="C135" s="27">
        <v>45800</v>
      </c>
      <c r="D135" s="28" t="s">
        <v>761</v>
      </c>
      <c r="E135" s="28" t="s">
        <v>111</v>
      </c>
      <c r="F135" s="28" t="s">
        <v>112</v>
      </c>
      <c r="G135" s="28" t="s">
        <v>762</v>
      </c>
      <c r="H135" s="28" t="s">
        <v>113</v>
      </c>
      <c r="I135" s="28" t="s">
        <v>763</v>
      </c>
      <c r="J135" s="28" t="s">
        <v>764</v>
      </c>
      <c r="K135" s="28" t="s">
        <v>765</v>
      </c>
      <c r="L135" s="28" t="s">
        <v>114</v>
      </c>
      <c r="M135" s="26">
        <v>30</v>
      </c>
      <c r="N135" s="26">
        <v>25.42</v>
      </c>
      <c r="O135" s="26">
        <v>0</v>
      </c>
      <c r="P135" s="26">
        <v>0</v>
      </c>
      <c r="Q135" s="26">
        <v>0</v>
      </c>
      <c r="R135" s="26">
        <v>4.58</v>
      </c>
      <c r="S135" s="26">
        <v>0</v>
      </c>
      <c r="T135" s="26">
        <v>30</v>
      </c>
      <c r="U135" s="28" t="s">
        <v>115</v>
      </c>
      <c r="V135" s="26"/>
      <c r="W135" s="26">
        <v>0</v>
      </c>
      <c r="X135" s="26">
        <v>0</v>
      </c>
      <c r="Y135" s="26">
        <v>3.6819999999999999</v>
      </c>
      <c r="Z135" s="28" t="s">
        <v>116</v>
      </c>
      <c r="AA135" s="28" t="s">
        <v>117</v>
      </c>
      <c r="AB135" s="26"/>
      <c r="AC135" s="28" t="s">
        <v>118</v>
      </c>
      <c r="AD135" s="28" t="s">
        <v>220</v>
      </c>
      <c r="AE135" s="28" t="s">
        <v>322</v>
      </c>
    </row>
    <row r="136" spans="1:31">
      <c r="A136" s="27">
        <v>45794</v>
      </c>
      <c r="B136" s="26"/>
      <c r="C136" s="27">
        <v>45800</v>
      </c>
      <c r="D136" s="28" t="s">
        <v>766</v>
      </c>
      <c r="E136" s="28" t="s">
        <v>111</v>
      </c>
      <c r="F136" s="28" t="s">
        <v>767</v>
      </c>
      <c r="G136" s="28" t="s">
        <v>768</v>
      </c>
      <c r="H136" s="28" t="s">
        <v>113</v>
      </c>
      <c r="I136" s="28" t="s">
        <v>769</v>
      </c>
      <c r="J136" s="28" t="s">
        <v>770</v>
      </c>
      <c r="K136" s="28" t="s">
        <v>771</v>
      </c>
      <c r="L136" s="28" t="s">
        <v>114</v>
      </c>
      <c r="M136" s="26">
        <v>52</v>
      </c>
      <c r="N136" s="26">
        <v>44.07</v>
      </c>
      <c r="O136" s="26">
        <v>0</v>
      </c>
      <c r="P136" s="26">
        <v>0</v>
      </c>
      <c r="Q136" s="26">
        <v>0</v>
      </c>
      <c r="R136" s="26">
        <v>7.93</v>
      </c>
      <c r="S136" s="26">
        <v>0</v>
      </c>
      <c r="T136" s="26">
        <v>52</v>
      </c>
      <c r="U136" s="28" t="s">
        <v>115</v>
      </c>
      <c r="V136" s="26"/>
      <c r="W136" s="26">
        <v>0</v>
      </c>
      <c r="X136" s="26">
        <v>0</v>
      </c>
      <c r="Y136" s="26">
        <v>3.6960000000000002</v>
      </c>
      <c r="Z136" s="28" t="s">
        <v>116</v>
      </c>
      <c r="AA136" s="28" t="s">
        <v>117</v>
      </c>
      <c r="AB136" s="26"/>
      <c r="AC136" s="28" t="s">
        <v>118</v>
      </c>
      <c r="AD136" s="28" t="s">
        <v>628</v>
      </c>
      <c r="AE136" s="28" t="s">
        <v>322</v>
      </c>
    </row>
    <row r="137" spans="1:31">
      <c r="A137" s="27">
        <v>45795</v>
      </c>
      <c r="B137" s="26"/>
      <c r="C137" s="27">
        <v>45800</v>
      </c>
      <c r="D137" s="28" t="s">
        <v>772</v>
      </c>
      <c r="E137" s="28" t="s">
        <v>111</v>
      </c>
      <c r="F137" s="28" t="s">
        <v>773</v>
      </c>
      <c r="G137" s="28" t="s">
        <v>774</v>
      </c>
      <c r="H137" s="28" t="s">
        <v>113</v>
      </c>
      <c r="I137" s="28" t="s">
        <v>775</v>
      </c>
      <c r="J137" s="28" t="s">
        <v>776</v>
      </c>
      <c r="K137" s="28" t="s">
        <v>777</v>
      </c>
      <c r="L137" s="28" t="s">
        <v>114</v>
      </c>
      <c r="M137" s="26">
        <v>47.65</v>
      </c>
      <c r="N137" s="26">
        <v>40.369999999999997</v>
      </c>
      <c r="O137" s="26">
        <v>0</v>
      </c>
      <c r="P137" s="26">
        <v>0</v>
      </c>
      <c r="Q137" s="26">
        <v>0</v>
      </c>
      <c r="R137" s="26">
        <v>7.28</v>
      </c>
      <c r="S137" s="26">
        <v>0</v>
      </c>
      <c r="T137" s="26">
        <v>47.65</v>
      </c>
      <c r="U137" s="28" t="s">
        <v>115</v>
      </c>
      <c r="V137" s="26"/>
      <c r="W137" s="26">
        <v>0</v>
      </c>
      <c r="X137" s="26">
        <v>0</v>
      </c>
      <c r="Y137" s="26">
        <v>3.6960000000000002</v>
      </c>
      <c r="Z137" s="28" t="s">
        <v>116</v>
      </c>
      <c r="AA137" s="28" t="s">
        <v>117</v>
      </c>
      <c r="AB137" s="26"/>
      <c r="AC137" s="28" t="s">
        <v>118</v>
      </c>
      <c r="AD137" s="28" t="s">
        <v>778</v>
      </c>
      <c r="AE137" s="28" t="s">
        <v>322</v>
      </c>
    </row>
    <row r="138" spans="1:31">
      <c r="A138" s="27">
        <v>45795</v>
      </c>
      <c r="B138" s="26"/>
      <c r="C138" s="27">
        <v>45800</v>
      </c>
      <c r="D138" s="28" t="s">
        <v>779</v>
      </c>
      <c r="E138" s="28" t="s">
        <v>111</v>
      </c>
      <c r="F138" s="28" t="s">
        <v>646</v>
      </c>
      <c r="G138" s="28" t="s">
        <v>780</v>
      </c>
      <c r="H138" s="28" t="s">
        <v>113</v>
      </c>
      <c r="I138" s="28" t="s">
        <v>763</v>
      </c>
      <c r="J138" s="28" t="s">
        <v>764</v>
      </c>
      <c r="K138" s="28" t="s">
        <v>765</v>
      </c>
      <c r="L138" s="28" t="s">
        <v>114</v>
      </c>
      <c r="M138" s="26">
        <v>53.86</v>
      </c>
      <c r="N138" s="26">
        <v>45.64</v>
      </c>
      <c r="O138" s="26">
        <v>0</v>
      </c>
      <c r="P138" s="26">
        <v>0</v>
      </c>
      <c r="Q138" s="26">
        <v>0</v>
      </c>
      <c r="R138" s="26">
        <v>8.2200000000000006</v>
      </c>
      <c r="S138" s="26">
        <v>0</v>
      </c>
      <c r="T138" s="26">
        <v>53.86</v>
      </c>
      <c r="U138" s="28" t="s">
        <v>115</v>
      </c>
      <c r="V138" s="26"/>
      <c r="W138" s="26">
        <v>0</v>
      </c>
      <c r="X138" s="26">
        <v>0</v>
      </c>
      <c r="Y138" s="26">
        <v>3.6960000000000002</v>
      </c>
      <c r="Z138" s="28" t="s">
        <v>116</v>
      </c>
      <c r="AA138" s="28" t="s">
        <v>117</v>
      </c>
      <c r="AB138" s="26"/>
      <c r="AC138" s="28" t="s">
        <v>118</v>
      </c>
      <c r="AD138" s="28" t="s">
        <v>778</v>
      </c>
      <c r="AE138" s="28" t="s">
        <v>322</v>
      </c>
    </row>
    <row r="139" spans="1:31">
      <c r="A139" s="27">
        <v>45795</v>
      </c>
      <c r="B139" s="26"/>
      <c r="C139" s="27">
        <v>45808</v>
      </c>
      <c r="D139" s="28" t="s">
        <v>781</v>
      </c>
      <c r="E139" s="28" t="s">
        <v>111</v>
      </c>
      <c r="F139" s="28" t="s">
        <v>782</v>
      </c>
      <c r="G139" s="28" t="s">
        <v>783</v>
      </c>
      <c r="H139" s="28" t="s">
        <v>113</v>
      </c>
      <c r="I139" s="28" t="s">
        <v>716</v>
      </c>
      <c r="J139" s="28" t="s">
        <v>717</v>
      </c>
      <c r="K139" s="28" t="s">
        <v>718</v>
      </c>
      <c r="L139" s="28" t="s">
        <v>114</v>
      </c>
      <c r="M139" s="26">
        <v>62.7</v>
      </c>
      <c r="N139" s="26">
        <v>53.14</v>
      </c>
      <c r="O139" s="26">
        <v>0</v>
      </c>
      <c r="P139" s="26">
        <v>0</v>
      </c>
      <c r="Q139" s="26">
        <v>0</v>
      </c>
      <c r="R139" s="26">
        <v>9.56</v>
      </c>
      <c r="S139" s="26">
        <v>0</v>
      </c>
      <c r="T139" s="26">
        <v>62.7</v>
      </c>
      <c r="U139" s="28" t="s">
        <v>115</v>
      </c>
      <c r="V139" s="26"/>
      <c r="W139" s="26">
        <v>0</v>
      </c>
      <c r="X139" s="26">
        <v>0</v>
      </c>
      <c r="Y139" s="26">
        <v>3.6960000000000002</v>
      </c>
      <c r="Z139" s="28" t="s">
        <v>116</v>
      </c>
      <c r="AA139" s="28" t="s">
        <v>117</v>
      </c>
      <c r="AB139" s="26"/>
      <c r="AC139" s="28" t="s">
        <v>118</v>
      </c>
      <c r="AD139" s="28" t="s">
        <v>778</v>
      </c>
      <c r="AE139" s="28" t="s">
        <v>724</v>
      </c>
    </row>
    <row r="140" spans="1:31">
      <c r="A140" s="27">
        <v>45799</v>
      </c>
      <c r="B140" s="26"/>
      <c r="C140" s="27">
        <v>45800</v>
      </c>
      <c r="D140" s="28" t="s">
        <v>784</v>
      </c>
      <c r="E140" s="28" t="s">
        <v>111</v>
      </c>
      <c r="F140" s="28" t="s">
        <v>773</v>
      </c>
      <c r="G140" s="28" t="s">
        <v>785</v>
      </c>
      <c r="H140" s="28" t="s">
        <v>113</v>
      </c>
      <c r="I140" s="28" t="s">
        <v>775</v>
      </c>
      <c r="J140" s="28" t="s">
        <v>776</v>
      </c>
      <c r="K140" s="28" t="s">
        <v>777</v>
      </c>
      <c r="L140" s="28" t="s">
        <v>114</v>
      </c>
      <c r="M140" s="26">
        <v>151.80000000000001</v>
      </c>
      <c r="N140" s="26">
        <v>128.65</v>
      </c>
      <c r="O140" s="26">
        <v>0</v>
      </c>
      <c r="P140" s="26">
        <v>0</v>
      </c>
      <c r="Q140" s="26">
        <v>0</v>
      </c>
      <c r="R140" s="26">
        <v>23.15</v>
      </c>
      <c r="S140" s="26">
        <v>0</v>
      </c>
      <c r="T140" s="26">
        <v>151.80000000000001</v>
      </c>
      <c r="U140" s="28" t="s">
        <v>115</v>
      </c>
      <c r="V140" s="26"/>
      <c r="W140" s="26">
        <v>0</v>
      </c>
      <c r="X140" s="26">
        <v>0</v>
      </c>
      <c r="Y140" s="26">
        <v>3.6829999999999998</v>
      </c>
      <c r="Z140" s="28" t="s">
        <v>116</v>
      </c>
      <c r="AA140" s="28" t="s">
        <v>117</v>
      </c>
      <c r="AB140" s="26"/>
      <c r="AC140" s="28" t="s">
        <v>118</v>
      </c>
      <c r="AD140" s="28" t="s">
        <v>252</v>
      </c>
      <c r="AE140" s="28" t="s">
        <v>322</v>
      </c>
    </row>
    <row r="141" spans="1:31">
      <c r="A141" s="27">
        <v>45799</v>
      </c>
      <c r="B141" s="26"/>
      <c r="C141" s="27">
        <v>45800</v>
      </c>
      <c r="D141" s="28" t="s">
        <v>786</v>
      </c>
      <c r="E141" s="28" t="s">
        <v>111</v>
      </c>
      <c r="F141" s="28" t="s">
        <v>787</v>
      </c>
      <c r="G141" s="28" t="s">
        <v>788</v>
      </c>
      <c r="H141" s="28" t="s">
        <v>113</v>
      </c>
      <c r="I141" s="28" t="s">
        <v>789</v>
      </c>
      <c r="J141" s="28" t="s">
        <v>790</v>
      </c>
      <c r="K141" s="28" t="s">
        <v>791</v>
      </c>
      <c r="L141" s="28" t="s">
        <v>114</v>
      </c>
      <c r="M141" s="26">
        <v>33.06</v>
      </c>
      <c r="N141" s="26">
        <v>28.02</v>
      </c>
      <c r="O141" s="26">
        <v>0</v>
      </c>
      <c r="P141" s="26">
        <v>0</v>
      </c>
      <c r="Q141" s="26">
        <v>0</v>
      </c>
      <c r="R141" s="26">
        <v>5.04</v>
      </c>
      <c r="S141" s="26">
        <v>0</v>
      </c>
      <c r="T141" s="26">
        <v>33.06</v>
      </c>
      <c r="U141" s="28" t="s">
        <v>115</v>
      </c>
      <c r="V141" s="26"/>
      <c r="W141" s="26">
        <v>0</v>
      </c>
      <c r="X141" s="26">
        <v>0</v>
      </c>
      <c r="Y141" s="26">
        <v>3.6829999999999998</v>
      </c>
      <c r="Z141" s="28" t="s">
        <v>116</v>
      </c>
      <c r="AA141" s="28" t="s">
        <v>117</v>
      </c>
      <c r="AB141" s="26"/>
      <c r="AC141" s="28" t="s">
        <v>118</v>
      </c>
      <c r="AD141" s="28" t="s">
        <v>252</v>
      </c>
      <c r="AE141" s="28" t="s">
        <v>322</v>
      </c>
    </row>
    <row r="142" spans="1:31">
      <c r="A142" s="27">
        <v>45778</v>
      </c>
      <c r="B142" s="27">
        <v>45778</v>
      </c>
      <c r="C142" s="27">
        <v>45778</v>
      </c>
      <c r="D142" s="28" t="s">
        <v>168</v>
      </c>
      <c r="E142" s="28" t="s">
        <v>169</v>
      </c>
      <c r="F142" s="28" t="s">
        <v>77</v>
      </c>
      <c r="G142" s="28" t="s">
        <v>325</v>
      </c>
      <c r="H142" s="28" t="s">
        <v>113</v>
      </c>
      <c r="I142" s="28" t="s">
        <v>395</v>
      </c>
      <c r="J142" s="28" t="s">
        <v>396</v>
      </c>
      <c r="K142" s="28" t="s">
        <v>397</v>
      </c>
      <c r="L142" s="28" t="s">
        <v>114</v>
      </c>
      <c r="M142" s="26">
        <v>100</v>
      </c>
      <c r="N142" s="26">
        <v>0</v>
      </c>
      <c r="O142" s="26">
        <v>0</v>
      </c>
      <c r="P142" s="26">
        <v>100</v>
      </c>
      <c r="Q142" s="26">
        <v>0</v>
      </c>
      <c r="R142" s="26">
        <v>0</v>
      </c>
      <c r="S142" s="26">
        <v>0</v>
      </c>
      <c r="T142" s="26">
        <v>100</v>
      </c>
      <c r="U142" s="28" t="s">
        <v>115</v>
      </c>
      <c r="V142" s="26"/>
      <c r="W142" s="26">
        <v>0</v>
      </c>
      <c r="X142" s="26">
        <v>0</v>
      </c>
      <c r="Y142" s="26">
        <v>3.6779999999999999</v>
      </c>
      <c r="Z142" s="28" t="s">
        <v>116</v>
      </c>
      <c r="AA142" s="28" t="s">
        <v>117</v>
      </c>
      <c r="AB142" s="26"/>
      <c r="AC142" s="28" t="s">
        <v>118</v>
      </c>
      <c r="AD142" s="28" t="s">
        <v>215</v>
      </c>
      <c r="AE142" s="28" t="s">
        <v>215</v>
      </c>
    </row>
    <row r="143" spans="1:31">
      <c r="A143" s="27">
        <v>45791</v>
      </c>
      <c r="B143" s="27">
        <v>45791</v>
      </c>
      <c r="C143" s="27">
        <v>45791</v>
      </c>
      <c r="D143" s="28" t="s">
        <v>170</v>
      </c>
      <c r="E143" s="28" t="s">
        <v>169</v>
      </c>
      <c r="F143" s="28" t="s">
        <v>77</v>
      </c>
      <c r="G143" s="28" t="s">
        <v>172</v>
      </c>
      <c r="H143" s="28" t="s">
        <v>113</v>
      </c>
      <c r="I143" s="28" t="s">
        <v>398</v>
      </c>
      <c r="J143" s="28" t="s">
        <v>399</v>
      </c>
      <c r="K143" s="28" t="s">
        <v>400</v>
      </c>
      <c r="L143" s="28" t="s">
        <v>114</v>
      </c>
      <c r="M143" s="26">
        <v>600</v>
      </c>
      <c r="N143" s="26">
        <v>0</v>
      </c>
      <c r="O143" s="26">
        <v>0</v>
      </c>
      <c r="P143" s="26">
        <v>600</v>
      </c>
      <c r="Q143" s="26">
        <v>0</v>
      </c>
      <c r="R143" s="26">
        <v>0</v>
      </c>
      <c r="S143" s="26">
        <v>0</v>
      </c>
      <c r="T143" s="26">
        <v>600</v>
      </c>
      <c r="U143" s="28" t="s">
        <v>115</v>
      </c>
      <c r="V143" s="26"/>
      <c r="W143" s="26">
        <v>0</v>
      </c>
      <c r="X143" s="26">
        <v>0</v>
      </c>
      <c r="Y143" s="26">
        <v>3.6589999999999998</v>
      </c>
      <c r="Z143" s="28" t="s">
        <v>116</v>
      </c>
      <c r="AA143" s="28" t="s">
        <v>117</v>
      </c>
      <c r="AB143" s="26"/>
      <c r="AC143" s="28" t="s">
        <v>118</v>
      </c>
      <c r="AD143" s="28" t="s">
        <v>211</v>
      </c>
      <c r="AE143" s="28" t="s">
        <v>211</v>
      </c>
    </row>
    <row r="144" spans="1:31">
      <c r="A144" s="27">
        <v>45791</v>
      </c>
      <c r="B144" s="27">
        <v>45791</v>
      </c>
      <c r="C144" s="27">
        <v>45791</v>
      </c>
      <c r="D144" s="28" t="s">
        <v>171</v>
      </c>
      <c r="E144" s="28" t="s">
        <v>169</v>
      </c>
      <c r="F144" s="28" t="s">
        <v>77</v>
      </c>
      <c r="G144" s="28" t="s">
        <v>325</v>
      </c>
      <c r="H144" s="28" t="s">
        <v>113</v>
      </c>
      <c r="I144" s="28" t="s">
        <v>398</v>
      </c>
      <c r="J144" s="28" t="s">
        <v>399</v>
      </c>
      <c r="K144" s="28" t="s">
        <v>400</v>
      </c>
      <c r="L144" s="28" t="s">
        <v>114</v>
      </c>
      <c r="M144" s="26">
        <v>600</v>
      </c>
      <c r="N144" s="26">
        <v>0</v>
      </c>
      <c r="O144" s="26">
        <v>0</v>
      </c>
      <c r="P144" s="26">
        <v>600</v>
      </c>
      <c r="Q144" s="26">
        <v>0</v>
      </c>
      <c r="R144" s="26">
        <v>0</v>
      </c>
      <c r="S144" s="26">
        <v>0</v>
      </c>
      <c r="T144" s="26">
        <v>600</v>
      </c>
      <c r="U144" s="28" t="s">
        <v>115</v>
      </c>
      <c r="V144" s="26"/>
      <c r="W144" s="26">
        <v>0</v>
      </c>
      <c r="X144" s="26">
        <v>0</v>
      </c>
      <c r="Y144" s="26">
        <v>3.6589999999999998</v>
      </c>
      <c r="Z144" s="28" t="s">
        <v>116</v>
      </c>
      <c r="AA144" s="28" t="s">
        <v>117</v>
      </c>
      <c r="AB144" s="26"/>
      <c r="AC144" s="28" t="s">
        <v>118</v>
      </c>
      <c r="AD144" s="28" t="s">
        <v>211</v>
      </c>
      <c r="AE144" s="28" t="s">
        <v>211</v>
      </c>
    </row>
    <row r="145" spans="1:31">
      <c r="A145" s="27">
        <v>45791</v>
      </c>
      <c r="B145" s="27">
        <v>45791</v>
      </c>
      <c r="C145" s="27">
        <v>45791</v>
      </c>
      <c r="D145" s="28" t="s">
        <v>272</v>
      </c>
      <c r="E145" s="28" t="s">
        <v>169</v>
      </c>
      <c r="F145" s="28" t="s">
        <v>77</v>
      </c>
      <c r="G145" s="28" t="s">
        <v>401</v>
      </c>
      <c r="H145" s="28" t="s">
        <v>113</v>
      </c>
      <c r="I145" s="28" t="s">
        <v>402</v>
      </c>
      <c r="J145" s="28" t="s">
        <v>403</v>
      </c>
      <c r="K145" s="28" t="s">
        <v>404</v>
      </c>
      <c r="L145" s="28" t="s">
        <v>114</v>
      </c>
      <c r="M145" s="26">
        <v>1693</v>
      </c>
      <c r="N145" s="26">
        <v>0</v>
      </c>
      <c r="O145" s="26">
        <v>0</v>
      </c>
      <c r="P145" s="26">
        <v>1693</v>
      </c>
      <c r="Q145" s="26">
        <v>0</v>
      </c>
      <c r="R145" s="26">
        <v>0</v>
      </c>
      <c r="S145" s="26">
        <v>0</v>
      </c>
      <c r="T145" s="26">
        <v>1693</v>
      </c>
      <c r="U145" s="28" t="s">
        <v>115</v>
      </c>
      <c r="V145" s="26"/>
      <c r="W145" s="26">
        <v>0</v>
      </c>
      <c r="X145" s="26">
        <v>0</v>
      </c>
      <c r="Y145" s="26">
        <v>3.6589999999999998</v>
      </c>
      <c r="Z145" s="28" t="s">
        <v>116</v>
      </c>
      <c r="AA145" s="28" t="s">
        <v>117</v>
      </c>
      <c r="AB145" s="26"/>
      <c r="AC145" s="28" t="s">
        <v>118</v>
      </c>
      <c r="AD145" s="28" t="s">
        <v>211</v>
      </c>
      <c r="AE145" s="28" t="s">
        <v>211</v>
      </c>
    </row>
    <row r="146" spans="1:31">
      <c r="A146" s="27">
        <v>45792</v>
      </c>
      <c r="B146" s="27">
        <v>45792</v>
      </c>
      <c r="C146" s="27">
        <v>45792</v>
      </c>
      <c r="D146" s="28" t="s">
        <v>273</v>
      </c>
      <c r="E146" s="28" t="s">
        <v>169</v>
      </c>
      <c r="F146" s="28" t="s">
        <v>77</v>
      </c>
      <c r="G146" s="28" t="s">
        <v>271</v>
      </c>
      <c r="H146" s="28" t="s">
        <v>113</v>
      </c>
      <c r="I146" s="28" t="s">
        <v>405</v>
      </c>
      <c r="J146" s="28" t="s">
        <v>406</v>
      </c>
      <c r="K146" s="28" t="s">
        <v>407</v>
      </c>
      <c r="L146" s="28" t="s">
        <v>114</v>
      </c>
      <c r="M146" s="26">
        <v>650</v>
      </c>
      <c r="N146" s="26">
        <v>0</v>
      </c>
      <c r="O146" s="26">
        <v>0</v>
      </c>
      <c r="P146" s="26">
        <v>650</v>
      </c>
      <c r="Q146" s="26">
        <v>0</v>
      </c>
      <c r="R146" s="26">
        <v>0</v>
      </c>
      <c r="S146" s="26">
        <v>0</v>
      </c>
      <c r="T146" s="26">
        <v>650</v>
      </c>
      <c r="U146" s="28" t="s">
        <v>115</v>
      </c>
      <c r="V146" s="26"/>
      <c r="W146" s="26">
        <v>0</v>
      </c>
      <c r="X146" s="26">
        <v>0</v>
      </c>
      <c r="Y146" s="26">
        <v>3.6819999999999999</v>
      </c>
      <c r="Z146" s="28" t="s">
        <v>116</v>
      </c>
      <c r="AA146" s="28" t="s">
        <v>117</v>
      </c>
      <c r="AB146" s="26"/>
      <c r="AC146" s="28" t="s">
        <v>118</v>
      </c>
      <c r="AD146" s="28" t="s">
        <v>220</v>
      </c>
      <c r="AE146" s="28" t="s">
        <v>220</v>
      </c>
    </row>
    <row r="147" spans="1:31">
      <c r="A147" s="27">
        <v>45792</v>
      </c>
      <c r="B147" s="27">
        <v>45792</v>
      </c>
      <c r="C147" s="27">
        <v>45792</v>
      </c>
      <c r="D147" s="28" t="s">
        <v>274</v>
      </c>
      <c r="E147" s="28" t="s">
        <v>169</v>
      </c>
      <c r="F147" s="28" t="s">
        <v>77</v>
      </c>
      <c r="G147" s="28" t="s">
        <v>275</v>
      </c>
      <c r="H147" s="28" t="s">
        <v>113</v>
      </c>
      <c r="I147" s="28" t="s">
        <v>408</v>
      </c>
      <c r="J147" s="28" t="s">
        <v>409</v>
      </c>
      <c r="K147" s="28" t="s">
        <v>410</v>
      </c>
      <c r="L147" s="28" t="s">
        <v>114</v>
      </c>
      <c r="M147" s="26">
        <v>813</v>
      </c>
      <c r="N147" s="26">
        <v>0</v>
      </c>
      <c r="O147" s="26">
        <v>0</v>
      </c>
      <c r="P147" s="26">
        <v>813</v>
      </c>
      <c r="Q147" s="26">
        <v>0</v>
      </c>
      <c r="R147" s="26">
        <v>0</v>
      </c>
      <c r="S147" s="26">
        <v>0</v>
      </c>
      <c r="T147" s="26">
        <v>813</v>
      </c>
      <c r="U147" s="28" t="s">
        <v>115</v>
      </c>
      <c r="V147" s="26"/>
      <c r="W147" s="26">
        <v>0</v>
      </c>
      <c r="X147" s="26">
        <v>0</v>
      </c>
      <c r="Y147" s="26">
        <v>3.6819999999999999</v>
      </c>
      <c r="Z147" s="28" t="s">
        <v>116</v>
      </c>
      <c r="AA147" s="28" t="s">
        <v>117</v>
      </c>
      <c r="AB147" s="26"/>
      <c r="AC147" s="28" t="s">
        <v>118</v>
      </c>
      <c r="AD147" s="28" t="s">
        <v>220</v>
      </c>
      <c r="AE147" s="28" t="s">
        <v>220</v>
      </c>
    </row>
    <row r="148" spans="1:31">
      <c r="A148" s="27">
        <v>45792</v>
      </c>
      <c r="B148" s="27">
        <v>45792</v>
      </c>
      <c r="C148" s="27">
        <v>45792</v>
      </c>
      <c r="D148" s="28" t="s">
        <v>276</v>
      </c>
      <c r="E148" s="28" t="s">
        <v>169</v>
      </c>
      <c r="F148" s="28" t="s">
        <v>77</v>
      </c>
      <c r="G148" s="28" t="s">
        <v>411</v>
      </c>
      <c r="H148" s="28" t="s">
        <v>113</v>
      </c>
      <c r="I148" s="28" t="s">
        <v>412</v>
      </c>
      <c r="J148" s="28" t="s">
        <v>413</v>
      </c>
      <c r="K148" s="28" t="s">
        <v>414</v>
      </c>
      <c r="L148" s="28" t="s">
        <v>114</v>
      </c>
      <c r="M148" s="26">
        <v>756</v>
      </c>
      <c r="N148" s="26">
        <v>0</v>
      </c>
      <c r="O148" s="26">
        <v>0</v>
      </c>
      <c r="P148" s="26">
        <v>756</v>
      </c>
      <c r="Q148" s="26">
        <v>0</v>
      </c>
      <c r="R148" s="26">
        <v>0</v>
      </c>
      <c r="S148" s="26">
        <v>0</v>
      </c>
      <c r="T148" s="26">
        <v>756</v>
      </c>
      <c r="U148" s="28" t="s">
        <v>115</v>
      </c>
      <c r="V148" s="26"/>
      <c r="W148" s="26">
        <v>0</v>
      </c>
      <c r="X148" s="26">
        <v>0</v>
      </c>
      <c r="Y148" s="26">
        <v>3.6819999999999999</v>
      </c>
      <c r="Z148" s="28" t="s">
        <v>116</v>
      </c>
      <c r="AA148" s="28" t="s">
        <v>117</v>
      </c>
      <c r="AB148" s="26"/>
      <c r="AC148" s="28" t="s">
        <v>118</v>
      </c>
      <c r="AD148" s="28" t="s">
        <v>220</v>
      </c>
      <c r="AE148" s="28" t="s">
        <v>220</v>
      </c>
    </row>
    <row r="149" spans="1:31">
      <c r="A149" s="27">
        <v>45798</v>
      </c>
      <c r="B149" s="27">
        <v>45798</v>
      </c>
      <c r="C149" s="27">
        <v>45798</v>
      </c>
      <c r="D149" s="28" t="s">
        <v>277</v>
      </c>
      <c r="E149" s="28" t="s">
        <v>169</v>
      </c>
      <c r="F149" s="28" t="s">
        <v>77</v>
      </c>
      <c r="G149" s="28" t="s">
        <v>415</v>
      </c>
      <c r="H149" s="28" t="s">
        <v>113</v>
      </c>
      <c r="I149" s="28" t="s">
        <v>416</v>
      </c>
      <c r="J149" s="28" t="s">
        <v>417</v>
      </c>
      <c r="K149" s="28" t="s">
        <v>418</v>
      </c>
      <c r="L149" s="28" t="s">
        <v>114</v>
      </c>
      <c r="M149" s="26">
        <v>500</v>
      </c>
      <c r="N149" s="26">
        <v>0</v>
      </c>
      <c r="O149" s="26">
        <v>0</v>
      </c>
      <c r="P149" s="26">
        <v>500</v>
      </c>
      <c r="Q149" s="26">
        <v>0</v>
      </c>
      <c r="R149" s="26">
        <v>0</v>
      </c>
      <c r="S149" s="26">
        <v>0</v>
      </c>
      <c r="T149" s="26">
        <v>500</v>
      </c>
      <c r="U149" s="28" t="s">
        <v>115</v>
      </c>
      <c r="V149" s="26"/>
      <c r="W149" s="26">
        <v>0</v>
      </c>
      <c r="X149" s="26">
        <v>0</v>
      </c>
      <c r="Y149" s="26">
        <v>3.6970000000000001</v>
      </c>
      <c r="Z149" s="28" t="s">
        <v>116</v>
      </c>
      <c r="AA149" s="28" t="s">
        <v>117</v>
      </c>
      <c r="AB149" s="26"/>
      <c r="AC149" s="28" t="s">
        <v>118</v>
      </c>
      <c r="AD149" s="28" t="s">
        <v>250</v>
      </c>
      <c r="AE149" s="28" t="s">
        <v>250</v>
      </c>
    </row>
    <row r="150" spans="1:31">
      <c r="A150" s="27">
        <v>45798</v>
      </c>
      <c r="B150" s="27">
        <v>45798</v>
      </c>
      <c r="C150" s="27">
        <v>45798</v>
      </c>
      <c r="D150" s="28" t="s">
        <v>278</v>
      </c>
      <c r="E150" s="28" t="s">
        <v>169</v>
      </c>
      <c r="F150" s="28" t="s">
        <v>77</v>
      </c>
      <c r="G150" s="28" t="s">
        <v>419</v>
      </c>
      <c r="H150" s="28" t="s">
        <v>113</v>
      </c>
      <c r="I150" s="28" t="s">
        <v>279</v>
      </c>
      <c r="J150" s="28" t="s">
        <v>280</v>
      </c>
      <c r="K150" s="28" t="s">
        <v>281</v>
      </c>
      <c r="L150" s="28" t="s">
        <v>114</v>
      </c>
      <c r="M150" s="26">
        <v>70</v>
      </c>
      <c r="N150" s="26">
        <v>0</v>
      </c>
      <c r="O150" s="26">
        <v>0</v>
      </c>
      <c r="P150" s="26">
        <v>70</v>
      </c>
      <c r="Q150" s="26">
        <v>0</v>
      </c>
      <c r="R150" s="26">
        <v>0</v>
      </c>
      <c r="S150" s="26">
        <v>0</v>
      </c>
      <c r="T150" s="26">
        <v>70</v>
      </c>
      <c r="U150" s="28" t="s">
        <v>115</v>
      </c>
      <c r="V150" s="26"/>
      <c r="W150" s="26">
        <v>0</v>
      </c>
      <c r="X150" s="26">
        <v>0</v>
      </c>
      <c r="Y150" s="26">
        <v>3.6970000000000001</v>
      </c>
      <c r="Z150" s="28" t="s">
        <v>116</v>
      </c>
      <c r="AA150" s="28" t="s">
        <v>117</v>
      </c>
      <c r="AB150" s="26"/>
      <c r="AC150" s="28" t="s">
        <v>118</v>
      </c>
      <c r="AD150" s="28" t="s">
        <v>250</v>
      </c>
      <c r="AE150" s="28" t="s">
        <v>250</v>
      </c>
    </row>
    <row r="151" spans="1:31">
      <c r="A151" s="27">
        <v>45800</v>
      </c>
      <c r="B151" s="27">
        <v>45800</v>
      </c>
      <c r="C151" s="27">
        <v>45800</v>
      </c>
      <c r="D151" s="28" t="s">
        <v>792</v>
      </c>
      <c r="E151" s="28" t="s">
        <v>169</v>
      </c>
      <c r="F151" s="28" t="s">
        <v>77</v>
      </c>
      <c r="G151" s="28" t="s">
        <v>793</v>
      </c>
      <c r="H151" s="28" t="s">
        <v>113</v>
      </c>
      <c r="I151" s="28" t="s">
        <v>794</v>
      </c>
      <c r="J151" s="28" t="s">
        <v>795</v>
      </c>
      <c r="K151" s="28" t="s">
        <v>796</v>
      </c>
      <c r="L151" s="28" t="s">
        <v>114</v>
      </c>
      <c r="M151" s="26">
        <v>800</v>
      </c>
      <c r="N151" s="26">
        <v>0</v>
      </c>
      <c r="O151" s="26">
        <v>0</v>
      </c>
      <c r="P151" s="26">
        <v>800</v>
      </c>
      <c r="Q151" s="26">
        <v>0</v>
      </c>
      <c r="R151" s="26">
        <v>0</v>
      </c>
      <c r="S151" s="26">
        <v>0</v>
      </c>
      <c r="T151" s="26">
        <v>800</v>
      </c>
      <c r="U151" s="28" t="s">
        <v>115</v>
      </c>
      <c r="V151" s="26"/>
      <c r="W151" s="26">
        <v>0</v>
      </c>
      <c r="X151" s="26">
        <v>0</v>
      </c>
      <c r="Y151" s="26">
        <v>3.669</v>
      </c>
      <c r="Z151" s="28" t="s">
        <v>116</v>
      </c>
      <c r="AA151" s="28" t="s">
        <v>117</v>
      </c>
      <c r="AB151" s="26"/>
      <c r="AC151" s="28" t="s">
        <v>118</v>
      </c>
      <c r="AD151" s="28" t="s">
        <v>322</v>
      </c>
      <c r="AE151" s="28" t="s">
        <v>322</v>
      </c>
    </row>
    <row r="152" spans="1:31">
      <c r="A152" s="27">
        <v>45801</v>
      </c>
      <c r="B152" s="27">
        <v>45801</v>
      </c>
      <c r="C152" s="27">
        <v>45801</v>
      </c>
      <c r="D152" s="28" t="s">
        <v>797</v>
      </c>
      <c r="E152" s="28" t="s">
        <v>169</v>
      </c>
      <c r="F152" s="28" t="s">
        <v>77</v>
      </c>
      <c r="G152" s="28" t="s">
        <v>798</v>
      </c>
      <c r="H152" s="28" t="s">
        <v>113</v>
      </c>
      <c r="I152" s="28" t="s">
        <v>794</v>
      </c>
      <c r="J152" s="28" t="s">
        <v>795</v>
      </c>
      <c r="K152" s="28" t="s">
        <v>796</v>
      </c>
      <c r="L152" s="28" t="s">
        <v>114</v>
      </c>
      <c r="M152" s="26">
        <v>720</v>
      </c>
      <c r="N152" s="26">
        <v>0</v>
      </c>
      <c r="O152" s="26">
        <v>0</v>
      </c>
      <c r="P152" s="26">
        <v>720</v>
      </c>
      <c r="Q152" s="26">
        <v>0</v>
      </c>
      <c r="R152" s="26">
        <v>0</v>
      </c>
      <c r="S152" s="26">
        <v>0</v>
      </c>
      <c r="T152" s="26">
        <v>720</v>
      </c>
      <c r="U152" s="28" t="s">
        <v>115</v>
      </c>
      <c r="V152" s="26"/>
      <c r="W152" s="26">
        <v>0</v>
      </c>
      <c r="X152" s="26">
        <v>0</v>
      </c>
      <c r="Y152" s="26">
        <v>3.665</v>
      </c>
      <c r="Z152" s="28" t="s">
        <v>116</v>
      </c>
      <c r="AA152" s="28" t="s">
        <v>117</v>
      </c>
      <c r="AB152" s="26"/>
      <c r="AC152" s="28" t="s">
        <v>118</v>
      </c>
      <c r="AD152" s="28" t="s">
        <v>669</v>
      </c>
      <c r="AE152" s="28" t="s">
        <v>669</v>
      </c>
    </row>
    <row r="153" spans="1:31">
      <c r="A153" s="27">
        <v>45803</v>
      </c>
      <c r="B153" s="27">
        <v>45803</v>
      </c>
      <c r="C153" s="27">
        <v>45803</v>
      </c>
      <c r="D153" s="28" t="s">
        <v>799</v>
      </c>
      <c r="E153" s="28" t="s">
        <v>169</v>
      </c>
      <c r="F153" s="28" t="s">
        <v>77</v>
      </c>
      <c r="G153" s="28" t="s">
        <v>800</v>
      </c>
      <c r="H153" s="28" t="s">
        <v>113</v>
      </c>
      <c r="I153" s="28" t="s">
        <v>801</v>
      </c>
      <c r="J153" s="28" t="s">
        <v>802</v>
      </c>
      <c r="K153" s="28" t="s">
        <v>803</v>
      </c>
      <c r="L153" s="28" t="s">
        <v>114</v>
      </c>
      <c r="M153" s="26">
        <v>300</v>
      </c>
      <c r="N153" s="26">
        <v>0</v>
      </c>
      <c r="O153" s="26">
        <v>0</v>
      </c>
      <c r="P153" s="26">
        <v>300</v>
      </c>
      <c r="Q153" s="26">
        <v>0</v>
      </c>
      <c r="R153" s="26">
        <v>0</v>
      </c>
      <c r="S153" s="26">
        <v>0</v>
      </c>
      <c r="T153" s="26">
        <v>300</v>
      </c>
      <c r="U153" s="28" t="s">
        <v>115</v>
      </c>
      <c r="V153" s="26"/>
      <c r="W153" s="26">
        <v>0</v>
      </c>
      <c r="X153" s="26">
        <v>0</v>
      </c>
      <c r="Y153" s="26">
        <v>3.665</v>
      </c>
      <c r="Z153" s="28" t="s">
        <v>116</v>
      </c>
      <c r="AA153" s="28" t="s">
        <v>117</v>
      </c>
      <c r="AB153" s="26"/>
      <c r="AC153" s="28" t="s">
        <v>118</v>
      </c>
      <c r="AD153" s="28" t="s">
        <v>672</v>
      </c>
      <c r="AE153" s="28" t="s">
        <v>672</v>
      </c>
    </row>
    <row r="154" spans="1:31">
      <c r="A154" s="27">
        <v>45803</v>
      </c>
      <c r="B154" s="27">
        <v>45803</v>
      </c>
      <c r="C154" s="27">
        <v>45803</v>
      </c>
      <c r="D154" s="28" t="s">
        <v>804</v>
      </c>
      <c r="E154" s="28" t="s">
        <v>169</v>
      </c>
      <c r="F154" s="28" t="s">
        <v>77</v>
      </c>
      <c r="G154" s="28" t="s">
        <v>805</v>
      </c>
      <c r="H154" s="28" t="s">
        <v>113</v>
      </c>
      <c r="I154" s="28" t="s">
        <v>412</v>
      </c>
      <c r="J154" s="28" t="s">
        <v>413</v>
      </c>
      <c r="K154" s="28" t="s">
        <v>414</v>
      </c>
      <c r="L154" s="28" t="s">
        <v>114</v>
      </c>
      <c r="M154" s="26">
        <v>83</v>
      </c>
      <c r="N154" s="26">
        <v>0</v>
      </c>
      <c r="O154" s="26">
        <v>0</v>
      </c>
      <c r="P154" s="26">
        <v>83</v>
      </c>
      <c r="Q154" s="26">
        <v>0</v>
      </c>
      <c r="R154" s="26">
        <v>0</v>
      </c>
      <c r="S154" s="26">
        <v>0</v>
      </c>
      <c r="T154" s="26">
        <v>83</v>
      </c>
      <c r="U154" s="28" t="s">
        <v>115</v>
      </c>
      <c r="V154" s="26"/>
      <c r="W154" s="26">
        <v>0</v>
      </c>
      <c r="X154" s="26">
        <v>0</v>
      </c>
      <c r="Y154" s="26">
        <v>3.665</v>
      </c>
      <c r="Z154" s="28" t="s">
        <v>116</v>
      </c>
      <c r="AA154" s="28" t="s">
        <v>117</v>
      </c>
      <c r="AB154" s="26"/>
      <c r="AC154" s="28" t="s">
        <v>118</v>
      </c>
      <c r="AD154" s="28" t="s">
        <v>672</v>
      </c>
      <c r="AE154" s="28" t="s">
        <v>672</v>
      </c>
    </row>
    <row r="155" spans="1:31">
      <c r="A155" s="27">
        <v>45804</v>
      </c>
      <c r="B155" s="27">
        <v>45804</v>
      </c>
      <c r="C155" s="27">
        <v>45804</v>
      </c>
      <c r="D155" s="28" t="s">
        <v>806</v>
      </c>
      <c r="E155" s="28" t="s">
        <v>169</v>
      </c>
      <c r="F155" s="28" t="s">
        <v>77</v>
      </c>
      <c r="G155" s="28" t="s">
        <v>807</v>
      </c>
      <c r="H155" s="28" t="s">
        <v>113</v>
      </c>
      <c r="I155" s="28" t="s">
        <v>808</v>
      </c>
      <c r="J155" s="28" t="s">
        <v>809</v>
      </c>
      <c r="K155" s="28" t="s">
        <v>810</v>
      </c>
      <c r="L155" s="28" t="s">
        <v>114</v>
      </c>
      <c r="M155" s="26">
        <v>500</v>
      </c>
      <c r="N155" s="26">
        <v>0</v>
      </c>
      <c r="O155" s="26">
        <v>0</v>
      </c>
      <c r="P155" s="26">
        <v>500</v>
      </c>
      <c r="Q155" s="26">
        <v>0</v>
      </c>
      <c r="R155" s="26">
        <v>0</v>
      </c>
      <c r="S155" s="26">
        <v>0</v>
      </c>
      <c r="T155" s="26">
        <v>500</v>
      </c>
      <c r="U155" s="28" t="s">
        <v>115</v>
      </c>
      <c r="V155" s="26"/>
      <c r="W155" s="26">
        <v>0</v>
      </c>
      <c r="X155" s="26">
        <v>0</v>
      </c>
      <c r="Y155" s="26">
        <v>3.665</v>
      </c>
      <c r="Z155" s="28" t="s">
        <v>116</v>
      </c>
      <c r="AA155" s="28" t="s">
        <v>117</v>
      </c>
      <c r="AB155" s="26"/>
      <c r="AC155" s="28" t="s">
        <v>118</v>
      </c>
      <c r="AD155" s="28" t="s">
        <v>265</v>
      </c>
      <c r="AE155" s="28" t="s">
        <v>265</v>
      </c>
    </row>
    <row r="156" spans="1:31">
      <c r="A156" s="27">
        <v>45804</v>
      </c>
      <c r="B156" s="27">
        <v>45804</v>
      </c>
      <c r="C156" s="27">
        <v>45804</v>
      </c>
      <c r="D156" s="28" t="s">
        <v>811</v>
      </c>
      <c r="E156" s="28" t="s">
        <v>169</v>
      </c>
      <c r="F156" s="28" t="s">
        <v>77</v>
      </c>
      <c r="G156" s="28" t="s">
        <v>411</v>
      </c>
      <c r="H156" s="28" t="s">
        <v>113</v>
      </c>
      <c r="I156" s="28" t="s">
        <v>405</v>
      </c>
      <c r="J156" s="28" t="s">
        <v>406</v>
      </c>
      <c r="K156" s="28" t="s">
        <v>407</v>
      </c>
      <c r="L156" s="28" t="s">
        <v>114</v>
      </c>
      <c r="M156" s="26">
        <v>650</v>
      </c>
      <c r="N156" s="26">
        <v>0</v>
      </c>
      <c r="O156" s="26">
        <v>0</v>
      </c>
      <c r="P156" s="26">
        <v>650</v>
      </c>
      <c r="Q156" s="26">
        <v>0</v>
      </c>
      <c r="R156" s="26">
        <v>0</v>
      </c>
      <c r="S156" s="26">
        <v>0</v>
      </c>
      <c r="T156" s="26">
        <v>650</v>
      </c>
      <c r="U156" s="28" t="s">
        <v>115</v>
      </c>
      <c r="V156" s="26"/>
      <c r="W156" s="26">
        <v>0</v>
      </c>
      <c r="X156" s="26">
        <v>0</v>
      </c>
      <c r="Y156" s="26">
        <v>3.665</v>
      </c>
      <c r="Z156" s="28" t="s">
        <v>116</v>
      </c>
      <c r="AA156" s="28" t="s">
        <v>117</v>
      </c>
      <c r="AB156" s="26"/>
      <c r="AC156" s="28" t="s">
        <v>118</v>
      </c>
      <c r="AD156" s="28" t="s">
        <v>265</v>
      </c>
      <c r="AE156" s="28" t="s">
        <v>265</v>
      </c>
    </row>
    <row r="157" spans="1:31">
      <c r="A157" s="24">
        <v>45804</v>
      </c>
      <c r="B157" s="24">
        <v>45804</v>
      </c>
      <c r="C157" s="24">
        <v>45804</v>
      </c>
      <c r="D157" s="25" t="s">
        <v>806</v>
      </c>
      <c r="E157" s="25" t="s">
        <v>169</v>
      </c>
      <c r="F157" s="25" t="s">
        <v>77</v>
      </c>
      <c r="G157" s="25" t="s">
        <v>807</v>
      </c>
      <c r="H157" s="25" t="s">
        <v>113</v>
      </c>
      <c r="I157" s="25" t="s">
        <v>808</v>
      </c>
      <c r="J157" s="25" t="s">
        <v>809</v>
      </c>
      <c r="K157" s="25" t="s">
        <v>810</v>
      </c>
      <c r="L157" s="25" t="s">
        <v>114</v>
      </c>
      <c r="M157" s="23">
        <v>500</v>
      </c>
      <c r="N157" s="23">
        <v>0</v>
      </c>
      <c r="O157" s="23">
        <v>0</v>
      </c>
      <c r="P157" s="23">
        <v>500</v>
      </c>
      <c r="Q157" s="23">
        <v>0</v>
      </c>
      <c r="R157" s="23">
        <v>0</v>
      </c>
      <c r="S157" s="23">
        <v>0</v>
      </c>
      <c r="T157" s="23">
        <v>500</v>
      </c>
      <c r="U157" s="25" t="s">
        <v>115</v>
      </c>
      <c r="V157" s="22"/>
      <c r="W157" s="23">
        <v>0</v>
      </c>
      <c r="X157" s="23">
        <v>0</v>
      </c>
      <c r="Y157" s="23">
        <v>3.665</v>
      </c>
      <c r="Z157" s="25" t="s">
        <v>116</v>
      </c>
      <c r="AA157" s="25" t="s">
        <v>117</v>
      </c>
      <c r="AB157" s="23"/>
      <c r="AC157" s="25" t="s">
        <v>118</v>
      </c>
      <c r="AD157" s="25" t="s">
        <v>265</v>
      </c>
      <c r="AE157" s="25" t="s">
        <v>265</v>
      </c>
    </row>
    <row r="158" spans="1:31">
      <c r="A158" s="24">
        <v>45804</v>
      </c>
      <c r="B158" s="24">
        <v>45804</v>
      </c>
      <c r="C158" s="24">
        <v>45804</v>
      </c>
      <c r="D158" s="25" t="s">
        <v>811</v>
      </c>
      <c r="E158" s="25" t="s">
        <v>169</v>
      </c>
      <c r="F158" s="25" t="s">
        <v>77</v>
      </c>
      <c r="G158" s="25" t="s">
        <v>411</v>
      </c>
      <c r="H158" s="25" t="s">
        <v>113</v>
      </c>
      <c r="I158" s="25" t="s">
        <v>405</v>
      </c>
      <c r="J158" s="25" t="s">
        <v>406</v>
      </c>
      <c r="K158" s="25" t="s">
        <v>407</v>
      </c>
      <c r="L158" s="25" t="s">
        <v>114</v>
      </c>
      <c r="M158" s="23">
        <v>650</v>
      </c>
      <c r="N158" s="23">
        <v>0</v>
      </c>
      <c r="O158" s="23">
        <v>0</v>
      </c>
      <c r="P158" s="23">
        <v>650</v>
      </c>
      <c r="Q158" s="23">
        <v>0</v>
      </c>
      <c r="R158" s="23">
        <v>0</v>
      </c>
      <c r="S158" s="23">
        <v>0</v>
      </c>
      <c r="T158" s="23">
        <v>650</v>
      </c>
      <c r="U158" s="25" t="s">
        <v>115</v>
      </c>
      <c r="V158" s="22"/>
      <c r="W158" s="23">
        <v>0</v>
      </c>
      <c r="X158" s="23">
        <v>0</v>
      </c>
      <c r="Y158" s="23">
        <v>3.665</v>
      </c>
      <c r="Z158" s="25" t="s">
        <v>116</v>
      </c>
      <c r="AA158" s="25" t="s">
        <v>117</v>
      </c>
      <c r="AB158" s="23"/>
      <c r="AC158" s="25" t="s">
        <v>118</v>
      </c>
      <c r="AD158" s="25" t="s">
        <v>265</v>
      </c>
      <c r="AE158" s="25" t="s">
        <v>265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Individual">
    <pageSetUpPr fitToPage="1"/>
  </sheetPr>
  <dimension ref="A1:I9"/>
  <sheetViews>
    <sheetView tabSelected="1" zoomScale="145" zoomScaleNormal="145" workbookViewId="0">
      <selection activeCell="C18" sqref="C18"/>
    </sheetView>
  </sheetViews>
  <sheetFormatPr baseColWidth="10" defaultRowHeight="15"/>
  <cols>
    <col min="1" max="1" width="11" style="1"/>
    <col min="2" max="2" width="14.75" style="1" customWidth="1"/>
    <col min="3" max="3" width="21.25" style="4" customWidth="1"/>
    <col min="4" max="4" width="6" style="1" customWidth="1"/>
    <col min="5" max="5" width="11" style="1"/>
    <col min="6" max="6" width="5.625" style="1" customWidth="1"/>
    <col min="7" max="7" width="14.75" style="1" customWidth="1"/>
    <col min="8" max="8" width="21.25" style="1" customWidth="1"/>
    <col min="9" max="16384" width="11" style="1"/>
  </cols>
  <sheetData>
    <row r="1" spans="1:9" ht="36" customHeight="1">
      <c r="A1" s="29" t="s">
        <v>65</v>
      </c>
      <c r="B1" s="30"/>
      <c r="C1" s="30"/>
      <c r="D1" s="30"/>
      <c r="E1" s="30"/>
      <c r="F1" s="30"/>
      <c r="G1" s="30"/>
      <c r="H1" s="37"/>
      <c r="I1" s="31" t="s">
        <v>70</v>
      </c>
    </row>
    <row r="2" spans="1:9" ht="20.25" customHeight="1">
      <c r="A2" s="34"/>
      <c r="B2" s="35"/>
      <c r="C2" s="35"/>
      <c r="D2" s="35"/>
      <c r="E2" s="35"/>
      <c r="F2" s="35"/>
      <c r="G2" s="35"/>
      <c r="H2" s="36"/>
      <c r="I2" s="31"/>
    </row>
    <row r="4" spans="1:9" ht="16.5" customHeight="1">
      <c r="B4" s="3" t="s">
        <v>0</v>
      </c>
      <c r="C4" s="2" t="s">
        <v>267</v>
      </c>
      <c r="G4" s="6" t="s">
        <v>6</v>
      </c>
      <c r="H4" s="7" t="s">
        <v>75</v>
      </c>
    </row>
    <row r="5" spans="1:9">
      <c r="B5" s="3" t="s">
        <v>20</v>
      </c>
      <c r="C5" s="2" t="s">
        <v>73</v>
      </c>
      <c r="G5" s="6" t="s">
        <v>23</v>
      </c>
      <c r="H5" s="7" t="s">
        <v>76</v>
      </c>
    </row>
    <row r="6" spans="1:9">
      <c r="B6" s="3" t="s">
        <v>1</v>
      </c>
      <c r="C6" s="2" t="s">
        <v>112</v>
      </c>
      <c r="G6" s="6" t="s">
        <v>11</v>
      </c>
      <c r="H6" s="7" t="s">
        <v>38</v>
      </c>
    </row>
    <row r="7" spans="1:9">
      <c r="B7" s="3" t="s">
        <v>2</v>
      </c>
      <c r="C7" s="2" t="s">
        <v>902</v>
      </c>
      <c r="G7" s="6" t="s">
        <v>12</v>
      </c>
      <c r="H7" s="7" t="s">
        <v>48</v>
      </c>
    </row>
    <row r="8" spans="1:9">
      <c r="B8" s="3" t="s">
        <v>3</v>
      </c>
      <c r="C8" s="2" t="s">
        <v>471</v>
      </c>
      <c r="G8" s="6" t="s">
        <v>13</v>
      </c>
      <c r="H8" s="7" t="s">
        <v>57</v>
      </c>
    </row>
    <row r="9" spans="1:9">
      <c r="B9" s="3" t="s">
        <v>4</v>
      </c>
      <c r="C9" s="2" t="s">
        <v>903</v>
      </c>
      <c r="G9" s="6" t="s">
        <v>14</v>
      </c>
      <c r="H9" s="7" t="s">
        <v>230</v>
      </c>
    </row>
  </sheetData>
  <mergeCells count="3">
    <mergeCell ref="I1:I2"/>
    <mergeCell ref="A2:H2"/>
    <mergeCell ref="A1:H1"/>
  </mergeCells>
  <dataValidations count="4">
    <dataValidation allowBlank="1" showInputMessage="1" showErrorMessage="1" promptTitle="Mg Luis Rojas:" prompt="El RUC debe tener 11 caracteres" sqref="C4"/>
    <dataValidation allowBlank="1" showInputMessage="1" showErrorMessage="1" promptTitle="Mg Luis Rojas:" prompt="Solo para electrónico" sqref="C9"/>
    <dataValidation type="list" allowBlank="1" showInputMessage="1" showErrorMessage="1" sqref="C5">
      <formula1>"01 FACTURA,03 BOLETA DE VENTA,04 LIQUIDACIÓN DE COMPRA,07 NOTA DE CREDITO,08 NOTA DE DEBITO,R1 RECIBO POR HONORARIOS,R7 NOTA DE CREDITO DE RECIBOS"</formula1>
    </dataValidation>
    <dataValidation allowBlank="1" showInputMessage="1" showErrorMessage="1" promptTitle="Mg. Luis Rojas" prompt="El formato debe ser día/mes/año (Ejemplo 27/07/2023)" sqref="C8"/>
  </dataValidations>
  <pageMargins left="0.7" right="0.7" top="0.75" bottom="0.75" header="0.3" footer="0.3"/>
  <pageSetup paperSize="9" scale="71" fitToHeight="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Masivo"/>
  <dimension ref="A1:M150"/>
  <sheetViews>
    <sheetView zoomScale="130" zoomScaleNormal="130" workbookViewId="0">
      <selection activeCell="H19" sqref="H19"/>
    </sheetView>
  </sheetViews>
  <sheetFormatPr baseColWidth="10" defaultRowHeight="15"/>
  <cols>
    <col min="1" max="1" width="13.875" style="4" customWidth="1"/>
    <col min="2" max="2" width="6.125" style="4" customWidth="1"/>
    <col min="3" max="6" width="13.875" style="4" customWidth="1"/>
    <col min="7" max="7" width="13.875" style="1" customWidth="1"/>
    <col min="8" max="8" width="15" style="1" customWidth="1"/>
    <col min="9" max="12" width="13.875" style="1" customWidth="1"/>
    <col min="13" max="16384" width="11" style="1"/>
  </cols>
  <sheetData>
    <row r="1" spans="1:13" ht="36" customHeight="1">
      <c r="A1" s="29" t="s">
        <v>65</v>
      </c>
      <c r="B1" s="30"/>
      <c r="C1" s="30"/>
      <c r="D1" s="30"/>
      <c r="E1" s="30"/>
      <c r="F1" s="30"/>
      <c r="G1" s="30"/>
      <c r="H1" s="30"/>
      <c r="I1" s="30"/>
      <c r="J1" s="30"/>
      <c r="K1" s="30"/>
      <c r="L1" s="37"/>
      <c r="M1" s="31" t="s">
        <v>70</v>
      </c>
    </row>
    <row r="2" spans="1:13" ht="20.25" customHeight="1">
      <c r="A2" s="32" t="s">
        <v>5</v>
      </c>
      <c r="B2" s="33"/>
      <c r="C2" s="33"/>
      <c r="D2" s="33"/>
      <c r="E2" s="33"/>
      <c r="F2" s="33"/>
      <c r="G2" s="33"/>
      <c r="H2" s="33"/>
      <c r="I2" s="33"/>
      <c r="J2" s="33"/>
      <c r="K2" s="33"/>
      <c r="L2" s="38"/>
      <c r="M2" s="31"/>
    </row>
    <row r="4" spans="1:13" ht="23.25" customHeight="1">
      <c r="A4" s="8" t="s">
        <v>0</v>
      </c>
      <c r="B4" s="8" t="s">
        <v>20</v>
      </c>
      <c r="C4" s="8" t="s">
        <v>1</v>
      </c>
      <c r="D4" s="8" t="s">
        <v>2</v>
      </c>
      <c r="E4" s="8" t="s">
        <v>3</v>
      </c>
      <c r="F4" s="8" t="s">
        <v>4</v>
      </c>
      <c r="G4" s="6"/>
      <c r="H4" s="6"/>
      <c r="I4" s="6"/>
      <c r="J4" s="6"/>
      <c r="K4" s="6"/>
      <c r="L4" s="6"/>
    </row>
    <row r="5" spans="1:13">
      <c r="A5" s="4" t="s">
        <v>293</v>
      </c>
      <c r="B5" s="4" t="s">
        <v>28</v>
      </c>
      <c r="C5" s="4" t="s">
        <v>112</v>
      </c>
      <c r="D5" s="4">
        <v>80667</v>
      </c>
      <c r="E5" s="4" t="s">
        <v>420</v>
      </c>
      <c r="F5" s="4" t="s">
        <v>421</v>
      </c>
      <c r="G5" s="1" t="b">
        <v>1</v>
      </c>
      <c r="H5" s="1" t="s">
        <v>76</v>
      </c>
      <c r="I5" s="1" t="s">
        <v>38</v>
      </c>
      <c r="J5" s="1" t="s">
        <v>48</v>
      </c>
      <c r="K5" s="1" t="s">
        <v>57</v>
      </c>
    </row>
    <row r="6" spans="1:13">
      <c r="A6" s="4" t="s">
        <v>204</v>
      </c>
      <c r="B6" s="4" t="s">
        <v>28</v>
      </c>
      <c r="C6" s="4" t="s">
        <v>203</v>
      </c>
      <c r="D6" s="4">
        <v>452059</v>
      </c>
      <c r="E6" s="4" t="s">
        <v>221</v>
      </c>
      <c r="F6" s="4" t="s">
        <v>422</v>
      </c>
      <c r="G6" s="1" t="b">
        <v>1</v>
      </c>
      <c r="H6" s="1" t="s">
        <v>76</v>
      </c>
      <c r="I6" s="1" t="s">
        <v>38</v>
      </c>
      <c r="J6" s="1" t="s">
        <v>48</v>
      </c>
      <c r="K6" s="1" t="s">
        <v>57</v>
      </c>
    </row>
    <row r="7" spans="1:13">
      <c r="A7" s="4" t="s">
        <v>204</v>
      </c>
      <c r="B7" s="4" t="s">
        <v>28</v>
      </c>
      <c r="C7" s="4" t="s">
        <v>203</v>
      </c>
      <c r="D7" s="4">
        <v>452285</v>
      </c>
      <c r="E7" s="4" t="s">
        <v>222</v>
      </c>
      <c r="F7" s="4" t="s">
        <v>423</v>
      </c>
      <c r="G7" s="1" t="b">
        <v>1</v>
      </c>
      <c r="H7" s="1" t="s">
        <v>76</v>
      </c>
      <c r="I7" s="1" t="s">
        <v>38</v>
      </c>
      <c r="J7" s="1" t="s">
        <v>48</v>
      </c>
      <c r="K7" s="1" t="s">
        <v>57</v>
      </c>
    </row>
    <row r="8" spans="1:13">
      <c r="A8" s="4" t="s">
        <v>293</v>
      </c>
      <c r="B8" s="4" t="s">
        <v>28</v>
      </c>
      <c r="C8" s="4" t="s">
        <v>112</v>
      </c>
      <c r="D8" s="4">
        <v>80773</v>
      </c>
      <c r="E8" s="4" t="s">
        <v>222</v>
      </c>
      <c r="F8" s="4" t="s">
        <v>424</v>
      </c>
      <c r="G8" s="1" t="b">
        <v>1</v>
      </c>
      <c r="H8" s="1" t="s">
        <v>76</v>
      </c>
      <c r="I8" s="1" t="s">
        <v>38</v>
      </c>
      <c r="J8" s="1" t="s">
        <v>48</v>
      </c>
      <c r="K8" s="1" t="s">
        <v>57</v>
      </c>
    </row>
    <row r="9" spans="1:13">
      <c r="A9" s="4" t="s">
        <v>238</v>
      </c>
      <c r="B9" s="4" t="s">
        <v>28</v>
      </c>
      <c r="C9" s="4" t="s">
        <v>124</v>
      </c>
      <c r="D9" s="4">
        <v>9011</v>
      </c>
      <c r="E9" s="4" t="s">
        <v>223</v>
      </c>
      <c r="F9" s="4" t="s">
        <v>425</v>
      </c>
      <c r="G9" s="1" t="b">
        <v>1</v>
      </c>
      <c r="H9" s="1" t="s">
        <v>76</v>
      </c>
      <c r="I9" s="1" t="s">
        <v>38</v>
      </c>
      <c r="J9" s="1" t="s">
        <v>48</v>
      </c>
      <c r="K9" s="1" t="s">
        <v>57</v>
      </c>
    </row>
    <row r="10" spans="1:13">
      <c r="A10" s="4" t="s">
        <v>238</v>
      </c>
      <c r="B10" s="4" t="s">
        <v>28</v>
      </c>
      <c r="C10" s="4" t="s">
        <v>124</v>
      </c>
      <c r="D10" s="4">
        <v>9010</v>
      </c>
      <c r="E10" s="4" t="s">
        <v>223</v>
      </c>
      <c r="F10" s="4" t="s">
        <v>426</v>
      </c>
      <c r="G10" s="1" t="b">
        <v>1</v>
      </c>
      <c r="H10" s="1" t="s">
        <v>76</v>
      </c>
      <c r="I10" s="1" t="s">
        <v>38</v>
      </c>
      <c r="J10" s="1" t="s">
        <v>48</v>
      </c>
      <c r="K10" s="1" t="s">
        <v>57</v>
      </c>
    </row>
    <row r="11" spans="1:13">
      <c r="A11" s="4" t="s">
        <v>293</v>
      </c>
      <c r="B11" s="4" t="s">
        <v>28</v>
      </c>
      <c r="C11" s="4" t="s">
        <v>112</v>
      </c>
      <c r="D11" s="4">
        <v>81214</v>
      </c>
      <c r="E11" s="4" t="s">
        <v>223</v>
      </c>
      <c r="F11" s="4" t="s">
        <v>427</v>
      </c>
      <c r="G11" s="1" t="b">
        <v>1</v>
      </c>
      <c r="H11" s="1" t="s">
        <v>76</v>
      </c>
      <c r="I11" s="1" t="s">
        <v>38</v>
      </c>
      <c r="J11" s="1" t="s">
        <v>48</v>
      </c>
      <c r="K11" s="1" t="s">
        <v>57</v>
      </c>
    </row>
    <row r="12" spans="1:13">
      <c r="A12" s="4" t="s">
        <v>308</v>
      </c>
      <c r="B12" s="4" t="s">
        <v>428</v>
      </c>
      <c r="C12" s="4" t="s">
        <v>210</v>
      </c>
      <c r="D12" s="4">
        <v>5817</v>
      </c>
      <c r="E12" s="4" t="s">
        <v>224</v>
      </c>
      <c r="F12" s="4" t="s">
        <v>429</v>
      </c>
      <c r="G12" s="1" t="b">
        <v>1</v>
      </c>
      <c r="H12" s="1" t="s">
        <v>76</v>
      </c>
      <c r="I12" s="1" t="s">
        <v>38</v>
      </c>
      <c r="J12" s="1" t="s">
        <v>48</v>
      </c>
      <c r="K12" s="1" t="s">
        <v>57</v>
      </c>
    </row>
    <row r="13" spans="1:13">
      <c r="A13" s="4" t="s">
        <v>293</v>
      </c>
      <c r="B13" s="4" t="s">
        <v>28</v>
      </c>
      <c r="C13" s="4" t="s">
        <v>112</v>
      </c>
      <c r="D13" s="4">
        <v>81307</v>
      </c>
      <c r="E13" s="4" t="s">
        <v>224</v>
      </c>
      <c r="F13" s="4" t="s">
        <v>430</v>
      </c>
      <c r="G13" s="1" t="b">
        <v>1</v>
      </c>
      <c r="H13" s="1" t="s">
        <v>76</v>
      </c>
      <c r="I13" s="1" t="s">
        <v>38</v>
      </c>
      <c r="J13" s="1" t="s">
        <v>48</v>
      </c>
      <c r="K13" s="1" t="s">
        <v>57</v>
      </c>
    </row>
    <row r="14" spans="1:13">
      <c r="A14" s="4" t="s">
        <v>316</v>
      </c>
      <c r="B14" s="4" t="s">
        <v>28</v>
      </c>
      <c r="C14" s="4" t="s">
        <v>210</v>
      </c>
      <c r="D14" s="4">
        <v>30959</v>
      </c>
      <c r="E14" s="4" t="s">
        <v>282</v>
      </c>
      <c r="F14" s="4" t="s">
        <v>431</v>
      </c>
      <c r="G14" s="1" t="b">
        <v>1</v>
      </c>
      <c r="H14" s="1" t="s">
        <v>76</v>
      </c>
      <c r="I14" s="1" t="s">
        <v>38</v>
      </c>
      <c r="J14" s="1" t="s">
        <v>48</v>
      </c>
      <c r="K14" s="1" t="s">
        <v>57</v>
      </c>
    </row>
    <row r="15" spans="1:13">
      <c r="A15" s="4" t="s">
        <v>293</v>
      </c>
      <c r="B15" s="4" t="s">
        <v>28</v>
      </c>
      <c r="C15" s="4" t="s">
        <v>112</v>
      </c>
      <c r="D15" s="4">
        <v>81461</v>
      </c>
      <c r="E15" s="4" t="s">
        <v>225</v>
      </c>
      <c r="F15" s="4" t="s">
        <v>432</v>
      </c>
      <c r="G15" s="1" t="b">
        <v>1</v>
      </c>
      <c r="H15" s="1" t="s">
        <v>76</v>
      </c>
      <c r="I15" s="1" t="s">
        <v>38</v>
      </c>
      <c r="J15" s="1" t="s">
        <v>48</v>
      </c>
      <c r="K15" s="1" t="s">
        <v>57</v>
      </c>
    </row>
    <row r="16" spans="1:13">
      <c r="A16" s="4" t="s">
        <v>293</v>
      </c>
      <c r="B16" s="4" t="s">
        <v>28</v>
      </c>
      <c r="C16" s="4" t="s">
        <v>112</v>
      </c>
      <c r="D16" s="4">
        <v>81596</v>
      </c>
      <c r="E16" s="4" t="s">
        <v>433</v>
      </c>
      <c r="F16" s="4" t="s">
        <v>434</v>
      </c>
      <c r="G16" s="1" t="b">
        <v>1</v>
      </c>
      <c r="H16" s="1" t="s">
        <v>76</v>
      </c>
      <c r="I16" s="1" t="s">
        <v>38</v>
      </c>
      <c r="J16" s="1" t="s">
        <v>48</v>
      </c>
      <c r="K16" s="1" t="s">
        <v>57</v>
      </c>
    </row>
    <row r="17" spans="1:11">
      <c r="A17" s="4" t="s">
        <v>238</v>
      </c>
      <c r="B17" s="4" t="s">
        <v>28</v>
      </c>
      <c r="C17" s="4" t="s">
        <v>124</v>
      </c>
      <c r="D17" s="4">
        <v>9130</v>
      </c>
      <c r="E17" s="4" t="s">
        <v>284</v>
      </c>
      <c r="F17" s="4" t="s">
        <v>812</v>
      </c>
      <c r="G17" s="1" t="b">
        <v>1</v>
      </c>
      <c r="H17" s="1" t="s">
        <v>76</v>
      </c>
      <c r="I17" s="1" t="s">
        <v>38</v>
      </c>
      <c r="J17" s="1" t="s">
        <v>48</v>
      </c>
      <c r="K17" s="1" t="s">
        <v>57</v>
      </c>
    </row>
    <row r="18" spans="1:11">
      <c r="A18" s="4" t="s">
        <v>238</v>
      </c>
      <c r="B18" s="4" t="s">
        <v>28</v>
      </c>
      <c r="C18" s="4" t="s">
        <v>124</v>
      </c>
      <c r="D18" s="4">
        <v>9131</v>
      </c>
      <c r="E18" s="4" t="s">
        <v>284</v>
      </c>
      <c r="F18" s="4" t="s">
        <v>813</v>
      </c>
      <c r="G18" s="1" t="b">
        <v>1</v>
      </c>
      <c r="H18" s="1" t="s">
        <v>76</v>
      </c>
      <c r="I18" s="1" t="s">
        <v>38</v>
      </c>
      <c r="J18" s="1" t="s">
        <v>48</v>
      </c>
      <c r="K18" s="1" t="s">
        <v>57</v>
      </c>
    </row>
    <row r="19" spans="1:11">
      <c r="A19" s="4" t="s">
        <v>238</v>
      </c>
      <c r="B19" s="4" t="s">
        <v>28</v>
      </c>
      <c r="C19" s="4" t="s">
        <v>124</v>
      </c>
      <c r="D19" s="4">
        <v>9132</v>
      </c>
      <c r="E19" s="4" t="s">
        <v>284</v>
      </c>
      <c r="F19" s="4" t="s">
        <v>814</v>
      </c>
      <c r="G19" s="1" t="b">
        <v>1</v>
      </c>
      <c r="H19" s="1" t="s">
        <v>76</v>
      </c>
      <c r="I19" s="1" t="s">
        <v>38</v>
      </c>
      <c r="J19" s="1" t="s">
        <v>48</v>
      </c>
      <c r="K19" s="1" t="s">
        <v>57</v>
      </c>
    </row>
    <row r="20" spans="1:11">
      <c r="A20" s="4" t="s">
        <v>238</v>
      </c>
      <c r="B20" s="4" t="s">
        <v>28</v>
      </c>
      <c r="C20" s="4" t="s">
        <v>124</v>
      </c>
      <c r="D20" s="4">
        <v>9133</v>
      </c>
      <c r="E20" s="4" t="s">
        <v>284</v>
      </c>
      <c r="F20" s="4" t="s">
        <v>815</v>
      </c>
      <c r="G20" s="1" t="b">
        <v>1</v>
      </c>
      <c r="H20" s="1" t="s">
        <v>76</v>
      </c>
      <c r="I20" s="1" t="s">
        <v>38</v>
      </c>
      <c r="J20" s="1" t="s">
        <v>48</v>
      </c>
      <c r="K20" s="1" t="s">
        <v>57</v>
      </c>
    </row>
    <row r="21" spans="1:11">
      <c r="A21" s="4" t="s">
        <v>238</v>
      </c>
      <c r="B21" s="4" t="s">
        <v>28</v>
      </c>
      <c r="C21" s="4" t="s">
        <v>124</v>
      </c>
      <c r="D21" s="4">
        <v>9151</v>
      </c>
      <c r="E21" s="4" t="s">
        <v>285</v>
      </c>
      <c r="F21" s="4" t="s">
        <v>435</v>
      </c>
      <c r="G21" s="1" t="b">
        <v>1</v>
      </c>
      <c r="H21" s="1" t="s">
        <v>76</v>
      </c>
      <c r="I21" s="1" t="s">
        <v>38</v>
      </c>
      <c r="J21" s="1" t="s">
        <v>48</v>
      </c>
      <c r="K21" s="1" t="s">
        <v>57</v>
      </c>
    </row>
    <row r="22" spans="1:11">
      <c r="A22" s="4" t="s">
        <v>243</v>
      </c>
      <c r="B22" s="4" t="s">
        <v>28</v>
      </c>
      <c r="C22" s="4" t="s">
        <v>112</v>
      </c>
      <c r="D22" s="4">
        <v>4106</v>
      </c>
      <c r="E22" s="4" t="s">
        <v>290</v>
      </c>
      <c r="F22" s="4" t="s">
        <v>436</v>
      </c>
      <c r="G22" s="1" t="b">
        <v>1</v>
      </c>
      <c r="H22" s="1" t="s">
        <v>76</v>
      </c>
      <c r="I22" s="1" t="s">
        <v>38</v>
      </c>
      <c r="J22" s="1" t="s">
        <v>48</v>
      </c>
      <c r="K22" s="1" t="s">
        <v>57</v>
      </c>
    </row>
    <row r="23" spans="1:11">
      <c r="A23" s="4" t="s">
        <v>247</v>
      </c>
      <c r="B23" s="4" t="s">
        <v>28</v>
      </c>
      <c r="C23" s="4" t="s">
        <v>124</v>
      </c>
      <c r="D23" s="4">
        <v>2095</v>
      </c>
      <c r="E23" s="4" t="s">
        <v>290</v>
      </c>
      <c r="F23" s="4" t="s">
        <v>283</v>
      </c>
      <c r="G23" s="1" t="b">
        <v>1</v>
      </c>
      <c r="H23" s="1" t="s">
        <v>76</v>
      </c>
      <c r="I23" s="1" t="s">
        <v>38</v>
      </c>
      <c r="J23" s="1" t="s">
        <v>48</v>
      </c>
      <c r="K23" s="1" t="s">
        <v>57</v>
      </c>
    </row>
    <row r="24" spans="1:11">
      <c r="A24" s="4" t="s">
        <v>293</v>
      </c>
      <c r="B24" s="4" t="s">
        <v>28</v>
      </c>
      <c r="C24" s="4" t="s">
        <v>112</v>
      </c>
      <c r="D24" s="4">
        <v>81902</v>
      </c>
      <c r="E24" s="4" t="s">
        <v>290</v>
      </c>
      <c r="F24" s="4" t="s">
        <v>437</v>
      </c>
      <c r="G24" s="1" t="b">
        <v>1</v>
      </c>
      <c r="H24" s="1" t="s">
        <v>76</v>
      </c>
      <c r="I24" s="1" t="s">
        <v>38</v>
      </c>
      <c r="J24" s="1" t="s">
        <v>48</v>
      </c>
      <c r="K24" s="1" t="s">
        <v>57</v>
      </c>
    </row>
    <row r="25" spans="1:11">
      <c r="A25" s="4" t="s">
        <v>204</v>
      </c>
      <c r="B25" s="4" t="s">
        <v>28</v>
      </c>
      <c r="C25" s="4" t="s">
        <v>203</v>
      </c>
      <c r="D25" s="4">
        <v>454886</v>
      </c>
      <c r="E25" s="4" t="s">
        <v>816</v>
      </c>
      <c r="F25" s="4" t="s">
        <v>817</v>
      </c>
      <c r="G25" s="1" t="b">
        <v>1</v>
      </c>
      <c r="H25" s="1" t="s">
        <v>76</v>
      </c>
      <c r="I25" s="1" t="s">
        <v>38</v>
      </c>
      <c r="J25" s="1" t="s">
        <v>48</v>
      </c>
      <c r="K25" s="1" t="s">
        <v>57</v>
      </c>
    </row>
    <row r="26" spans="1:11">
      <c r="A26" s="4" t="s">
        <v>204</v>
      </c>
      <c r="B26" s="4" t="s">
        <v>28</v>
      </c>
      <c r="C26" s="4" t="s">
        <v>203</v>
      </c>
      <c r="D26" s="4">
        <v>454887</v>
      </c>
      <c r="E26" s="4" t="s">
        <v>816</v>
      </c>
      <c r="F26" s="4" t="s">
        <v>818</v>
      </c>
      <c r="G26" s="1" t="b">
        <v>1</v>
      </c>
      <c r="H26" s="1" t="s">
        <v>76</v>
      </c>
      <c r="I26" s="1" t="s">
        <v>38</v>
      </c>
      <c r="J26" s="1" t="s">
        <v>48</v>
      </c>
      <c r="K26" s="1" t="s">
        <v>57</v>
      </c>
    </row>
    <row r="27" spans="1:11">
      <c r="A27" s="4" t="s">
        <v>238</v>
      </c>
      <c r="B27" s="4" t="s">
        <v>28</v>
      </c>
      <c r="C27" s="4" t="s">
        <v>124</v>
      </c>
      <c r="D27" s="4">
        <v>9204</v>
      </c>
      <c r="E27" s="4" t="s">
        <v>819</v>
      </c>
      <c r="F27" s="4" t="s">
        <v>820</v>
      </c>
      <c r="G27" s="1" t="b">
        <v>1</v>
      </c>
      <c r="H27" s="1" t="s">
        <v>76</v>
      </c>
      <c r="I27" s="1" t="s">
        <v>38</v>
      </c>
      <c r="J27" s="1" t="s">
        <v>48</v>
      </c>
      <c r="K27" s="1" t="s">
        <v>57</v>
      </c>
    </row>
    <row r="28" spans="1:11">
      <c r="A28" s="4" t="s">
        <v>500</v>
      </c>
      <c r="B28" s="4" t="s">
        <v>28</v>
      </c>
      <c r="C28" s="4" t="s">
        <v>497</v>
      </c>
      <c r="D28" s="4">
        <v>10709</v>
      </c>
      <c r="E28" s="4" t="s">
        <v>819</v>
      </c>
      <c r="F28" s="4" t="s">
        <v>821</v>
      </c>
      <c r="G28" s="1" t="b">
        <v>1</v>
      </c>
      <c r="H28" s="1" t="s">
        <v>76</v>
      </c>
      <c r="I28" s="1" t="s">
        <v>38</v>
      </c>
      <c r="J28" s="1" t="s">
        <v>48</v>
      </c>
      <c r="K28" s="1" t="s">
        <v>57</v>
      </c>
    </row>
    <row r="29" spans="1:11">
      <c r="A29" s="4" t="s">
        <v>243</v>
      </c>
      <c r="B29" s="4" t="s">
        <v>28</v>
      </c>
      <c r="C29" s="4" t="s">
        <v>112</v>
      </c>
      <c r="D29" s="4">
        <v>4184</v>
      </c>
      <c r="E29" s="4" t="s">
        <v>819</v>
      </c>
      <c r="F29" s="4" t="s">
        <v>822</v>
      </c>
      <c r="G29" s="1" t="b">
        <v>1</v>
      </c>
      <c r="H29" s="1" t="s">
        <v>76</v>
      </c>
      <c r="I29" s="1" t="s">
        <v>38</v>
      </c>
      <c r="J29" s="1" t="s">
        <v>48</v>
      </c>
      <c r="K29" s="1" t="s">
        <v>57</v>
      </c>
    </row>
    <row r="30" spans="1:11">
      <c r="A30" s="4" t="s">
        <v>254</v>
      </c>
      <c r="B30" s="4" t="s">
        <v>28</v>
      </c>
      <c r="C30" s="4" t="s">
        <v>77</v>
      </c>
      <c r="D30" s="4">
        <v>21</v>
      </c>
      <c r="E30" s="4" t="s">
        <v>286</v>
      </c>
      <c r="F30" s="4" t="s">
        <v>287</v>
      </c>
      <c r="G30" s="1" t="b">
        <v>1</v>
      </c>
      <c r="H30" s="1" t="s">
        <v>76</v>
      </c>
      <c r="I30" s="1" t="s">
        <v>38</v>
      </c>
      <c r="J30" s="1" t="s">
        <v>48</v>
      </c>
      <c r="K30" s="1" t="s">
        <v>57</v>
      </c>
    </row>
    <row r="31" spans="1:11">
      <c r="A31" s="4" t="s">
        <v>540</v>
      </c>
      <c r="B31" s="4" t="s">
        <v>28</v>
      </c>
      <c r="C31" s="4" t="s">
        <v>112</v>
      </c>
      <c r="D31" s="4">
        <v>29664</v>
      </c>
      <c r="E31" s="4" t="s">
        <v>226</v>
      </c>
      <c r="F31" s="4" t="s">
        <v>823</v>
      </c>
      <c r="G31" s="1" t="b">
        <v>1</v>
      </c>
      <c r="H31" s="1" t="s">
        <v>76</v>
      </c>
      <c r="I31" s="1" t="s">
        <v>38</v>
      </c>
      <c r="J31" s="1" t="s">
        <v>48</v>
      </c>
      <c r="K31" s="1" t="s">
        <v>57</v>
      </c>
    </row>
    <row r="32" spans="1:11">
      <c r="A32" s="4" t="s">
        <v>540</v>
      </c>
      <c r="B32" s="4" t="s">
        <v>28</v>
      </c>
      <c r="C32" s="4" t="s">
        <v>112</v>
      </c>
      <c r="D32" s="4">
        <v>29665</v>
      </c>
      <c r="E32" s="4" t="s">
        <v>226</v>
      </c>
      <c r="F32" s="4" t="s">
        <v>823</v>
      </c>
      <c r="G32" s="1" t="b">
        <v>1</v>
      </c>
      <c r="H32" s="1" t="s">
        <v>76</v>
      </c>
      <c r="I32" s="1" t="s">
        <v>38</v>
      </c>
      <c r="J32" s="1" t="s">
        <v>48</v>
      </c>
      <c r="K32" s="1" t="s">
        <v>57</v>
      </c>
    </row>
    <row r="33" spans="1:11">
      <c r="A33" s="4" t="s">
        <v>540</v>
      </c>
      <c r="B33" s="4" t="s">
        <v>28</v>
      </c>
      <c r="C33" s="4" t="s">
        <v>112</v>
      </c>
      <c r="D33" s="4">
        <v>29666</v>
      </c>
      <c r="E33" s="4" t="s">
        <v>226</v>
      </c>
      <c r="F33" s="4" t="s">
        <v>823</v>
      </c>
      <c r="G33" s="1" t="b">
        <v>1</v>
      </c>
      <c r="H33" s="1" t="s">
        <v>76</v>
      </c>
      <c r="I33" s="1" t="s">
        <v>38</v>
      </c>
      <c r="J33" s="1" t="s">
        <v>48</v>
      </c>
      <c r="K33" s="1" t="s">
        <v>57</v>
      </c>
    </row>
    <row r="34" spans="1:11">
      <c r="A34" s="4" t="s">
        <v>131</v>
      </c>
      <c r="B34" s="4" t="s">
        <v>28</v>
      </c>
      <c r="C34" s="4" t="s">
        <v>129</v>
      </c>
      <c r="D34" s="4">
        <v>59866</v>
      </c>
      <c r="E34" s="4" t="s">
        <v>226</v>
      </c>
      <c r="F34" s="4" t="s">
        <v>177</v>
      </c>
      <c r="G34" s="1" t="b">
        <v>1</v>
      </c>
      <c r="H34" s="1" t="s">
        <v>76</v>
      </c>
      <c r="I34" s="1" t="s">
        <v>38</v>
      </c>
      <c r="J34" s="1" t="s">
        <v>48</v>
      </c>
      <c r="K34" s="1" t="s">
        <v>57</v>
      </c>
    </row>
    <row r="35" spans="1:11">
      <c r="A35" s="4" t="s">
        <v>131</v>
      </c>
      <c r="B35" s="4" t="s">
        <v>28</v>
      </c>
      <c r="C35" s="4" t="s">
        <v>129</v>
      </c>
      <c r="D35" s="4">
        <v>58659</v>
      </c>
      <c r="E35" s="4" t="s">
        <v>226</v>
      </c>
      <c r="F35" s="4" t="s">
        <v>177</v>
      </c>
      <c r="G35" s="1" t="b">
        <v>1</v>
      </c>
      <c r="H35" s="1" t="s">
        <v>76</v>
      </c>
      <c r="I35" s="1" t="s">
        <v>38</v>
      </c>
      <c r="J35" s="1" t="s">
        <v>48</v>
      </c>
      <c r="K35" s="1" t="s">
        <v>57</v>
      </c>
    </row>
    <row r="36" spans="1:11">
      <c r="A36" s="4" t="s">
        <v>136</v>
      </c>
      <c r="B36" s="4" t="s">
        <v>28</v>
      </c>
      <c r="C36" s="4" t="s">
        <v>134</v>
      </c>
      <c r="D36" s="4">
        <v>7962342</v>
      </c>
      <c r="E36" s="4" t="s">
        <v>227</v>
      </c>
      <c r="F36" s="4" t="s">
        <v>438</v>
      </c>
      <c r="G36" s="1" t="b">
        <v>1</v>
      </c>
      <c r="H36" s="1" t="s">
        <v>76</v>
      </c>
      <c r="I36" s="1" t="s">
        <v>38</v>
      </c>
      <c r="J36" s="1" t="s">
        <v>48</v>
      </c>
      <c r="K36" s="1" t="s">
        <v>57</v>
      </c>
    </row>
    <row r="37" spans="1:11">
      <c r="A37" s="4" t="s">
        <v>136</v>
      </c>
      <c r="B37" s="4" t="s">
        <v>28</v>
      </c>
      <c r="C37" s="4" t="s">
        <v>167</v>
      </c>
      <c r="D37" s="4">
        <v>1664046</v>
      </c>
      <c r="E37" s="4" t="s">
        <v>221</v>
      </c>
      <c r="F37" s="4" t="s">
        <v>181</v>
      </c>
      <c r="G37" s="1" t="b">
        <v>1</v>
      </c>
      <c r="H37" s="1" t="s">
        <v>76</v>
      </c>
      <c r="I37" s="1" t="s">
        <v>38</v>
      </c>
      <c r="J37" s="1" t="s">
        <v>48</v>
      </c>
      <c r="K37" s="1" t="s">
        <v>57</v>
      </c>
    </row>
    <row r="38" spans="1:11">
      <c r="A38" s="4" t="s">
        <v>136</v>
      </c>
      <c r="B38" s="4" t="s">
        <v>28</v>
      </c>
      <c r="C38" s="4" t="s">
        <v>134</v>
      </c>
      <c r="D38" s="4">
        <v>7977946</v>
      </c>
      <c r="E38" s="4" t="s">
        <v>221</v>
      </c>
      <c r="F38" s="4" t="s">
        <v>439</v>
      </c>
      <c r="G38" s="1" t="b">
        <v>1</v>
      </c>
      <c r="H38" s="1" t="s">
        <v>76</v>
      </c>
      <c r="I38" s="1" t="s">
        <v>38</v>
      </c>
      <c r="J38" s="1" t="s">
        <v>48</v>
      </c>
      <c r="K38" s="1" t="s">
        <v>57</v>
      </c>
    </row>
    <row r="39" spans="1:11">
      <c r="A39" s="4" t="s">
        <v>136</v>
      </c>
      <c r="B39" s="4" t="s">
        <v>28</v>
      </c>
      <c r="C39" s="4" t="s">
        <v>134</v>
      </c>
      <c r="D39" s="4">
        <v>7974686</v>
      </c>
      <c r="E39" s="4" t="s">
        <v>221</v>
      </c>
      <c r="F39" s="4" t="s">
        <v>440</v>
      </c>
      <c r="G39" s="1" t="b">
        <v>1</v>
      </c>
      <c r="H39" s="1" t="s">
        <v>76</v>
      </c>
      <c r="I39" s="1" t="s">
        <v>38</v>
      </c>
      <c r="J39" s="1" t="s">
        <v>48</v>
      </c>
      <c r="K39" s="1" t="s">
        <v>57</v>
      </c>
    </row>
    <row r="40" spans="1:11">
      <c r="A40" s="4" t="s">
        <v>336</v>
      </c>
      <c r="B40" s="4" t="s">
        <v>28</v>
      </c>
      <c r="C40" s="4" t="s">
        <v>333</v>
      </c>
      <c r="D40" s="4">
        <v>405107</v>
      </c>
      <c r="E40" s="4" t="s">
        <v>221</v>
      </c>
      <c r="F40" s="4" t="s">
        <v>441</v>
      </c>
      <c r="G40" s="1" t="b">
        <v>1</v>
      </c>
      <c r="H40" s="1" t="s">
        <v>76</v>
      </c>
      <c r="I40" s="1" t="s">
        <v>38</v>
      </c>
      <c r="J40" s="1" t="s">
        <v>48</v>
      </c>
      <c r="K40" s="1" t="s">
        <v>57</v>
      </c>
    </row>
    <row r="41" spans="1:11">
      <c r="A41" s="4" t="s">
        <v>141</v>
      </c>
      <c r="B41" s="4" t="s">
        <v>28</v>
      </c>
      <c r="C41" s="4" t="s">
        <v>149</v>
      </c>
      <c r="D41" s="4">
        <v>3993915</v>
      </c>
      <c r="E41" s="4" t="s">
        <v>221</v>
      </c>
      <c r="F41" s="4" t="s">
        <v>178</v>
      </c>
      <c r="G41" s="1" t="b">
        <v>1</v>
      </c>
      <c r="H41" s="1" t="s">
        <v>76</v>
      </c>
      <c r="I41" s="1" t="s">
        <v>38</v>
      </c>
      <c r="J41" s="1" t="s">
        <v>48</v>
      </c>
      <c r="K41" s="1" t="s">
        <v>57</v>
      </c>
    </row>
    <row r="42" spans="1:11">
      <c r="A42" s="4" t="s">
        <v>341</v>
      </c>
      <c r="B42" s="4" t="s">
        <v>28</v>
      </c>
      <c r="C42" s="4" t="s">
        <v>77</v>
      </c>
      <c r="D42" s="4">
        <v>58</v>
      </c>
      <c r="E42" s="4" t="s">
        <v>221</v>
      </c>
      <c r="F42" s="4" t="s">
        <v>442</v>
      </c>
      <c r="G42" s="1" t="b">
        <v>1</v>
      </c>
      <c r="H42" s="1" t="s">
        <v>76</v>
      </c>
      <c r="I42" s="1" t="s">
        <v>38</v>
      </c>
      <c r="J42" s="1" t="s">
        <v>48</v>
      </c>
      <c r="K42" s="1" t="s">
        <v>57</v>
      </c>
    </row>
    <row r="43" spans="1:11">
      <c r="A43" s="4" t="s">
        <v>136</v>
      </c>
      <c r="B43" s="4" t="s">
        <v>28</v>
      </c>
      <c r="C43" s="4" t="s">
        <v>134</v>
      </c>
      <c r="D43" s="4">
        <v>7994487</v>
      </c>
      <c r="E43" s="4" t="s">
        <v>222</v>
      </c>
      <c r="F43" s="4" t="s">
        <v>443</v>
      </c>
      <c r="G43" s="1" t="b">
        <v>1</v>
      </c>
      <c r="H43" s="1" t="s">
        <v>76</v>
      </c>
      <c r="I43" s="1" t="s">
        <v>38</v>
      </c>
      <c r="J43" s="1" t="s">
        <v>48</v>
      </c>
      <c r="K43" s="1" t="s">
        <v>57</v>
      </c>
    </row>
    <row r="44" spans="1:11">
      <c r="A44" s="4" t="s">
        <v>136</v>
      </c>
      <c r="B44" s="4" t="s">
        <v>28</v>
      </c>
      <c r="C44" s="4" t="s">
        <v>134</v>
      </c>
      <c r="D44" s="4">
        <v>7994530</v>
      </c>
      <c r="E44" s="4" t="s">
        <v>222</v>
      </c>
      <c r="F44" s="4" t="s">
        <v>444</v>
      </c>
      <c r="G44" s="1" t="b">
        <v>1</v>
      </c>
      <c r="H44" s="1" t="s">
        <v>76</v>
      </c>
      <c r="I44" s="1" t="s">
        <v>38</v>
      </c>
      <c r="J44" s="1" t="s">
        <v>48</v>
      </c>
      <c r="K44" s="1" t="s">
        <v>57</v>
      </c>
    </row>
    <row r="45" spans="1:11">
      <c r="A45" s="4" t="s">
        <v>153</v>
      </c>
      <c r="B45" s="4" t="s">
        <v>28</v>
      </c>
      <c r="C45" s="4" t="s">
        <v>151</v>
      </c>
      <c r="D45" s="4">
        <v>9609</v>
      </c>
      <c r="E45" s="4" t="s">
        <v>222</v>
      </c>
      <c r="F45" s="4" t="s">
        <v>179</v>
      </c>
      <c r="G45" s="1" t="b">
        <v>1</v>
      </c>
      <c r="H45" s="1" t="s">
        <v>76</v>
      </c>
      <c r="I45" s="1" t="s">
        <v>38</v>
      </c>
      <c r="J45" s="1" t="s">
        <v>48</v>
      </c>
      <c r="K45" s="1" t="s">
        <v>57</v>
      </c>
    </row>
    <row r="46" spans="1:11">
      <c r="A46" s="4" t="s">
        <v>153</v>
      </c>
      <c r="B46" s="4" t="s">
        <v>28</v>
      </c>
      <c r="C46" s="4" t="s">
        <v>151</v>
      </c>
      <c r="D46" s="4">
        <v>9618</v>
      </c>
      <c r="E46" s="4" t="s">
        <v>222</v>
      </c>
      <c r="F46" s="4" t="s">
        <v>445</v>
      </c>
      <c r="G46" s="1" t="b">
        <v>1</v>
      </c>
      <c r="H46" s="1" t="s">
        <v>76</v>
      </c>
      <c r="I46" s="1" t="s">
        <v>38</v>
      </c>
      <c r="J46" s="1" t="s">
        <v>48</v>
      </c>
      <c r="K46" s="1" t="s">
        <v>57</v>
      </c>
    </row>
    <row r="47" spans="1:11">
      <c r="A47" s="4" t="s">
        <v>153</v>
      </c>
      <c r="B47" s="4" t="s">
        <v>28</v>
      </c>
      <c r="C47" s="4" t="s">
        <v>151</v>
      </c>
      <c r="D47" s="4">
        <v>9619</v>
      </c>
      <c r="E47" s="4" t="s">
        <v>222</v>
      </c>
      <c r="F47" s="4" t="s">
        <v>179</v>
      </c>
      <c r="G47" s="1" t="b">
        <v>1</v>
      </c>
      <c r="H47" s="1" t="s">
        <v>76</v>
      </c>
      <c r="I47" s="1" t="s">
        <v>38</v>
      </c>
      <c r="J47" s="1" t="s">
        <v>48</v>
      </c>
      <c r="K47" s="1" t="s">
        <v>57</v>
      </c>
    </row>
    <row r="48" spans="1:11">
      <c r="A48" s="4" t="s">
        <v>352</v>
      </c>
      <c r="B48" s="4" t="s">
        <v>28</v>
      </c>
      <c r="C48" s="4" t="s">
        <v>349</v>
      </c>
      <c r="D48" s="4">
        <v>281915</v>
      </c>
      <c r="E48" s="4" t="s">
        <v>222</v>
      </c>
      <c r="F48" s="4" t="s">
        <v>446</v>
      </c>
      <c r="G48" s="1" t="b">
        <v>1</v>
      </c>
      <c r="H48" s="1" t="s">
        <v>76</v>
      </c>
      <c r="I48" s="1" t="s">
        <v>38</v>
      </c>
      <c r="J48" s="1" t="s">
        <v>48</v>
      </c>
      <c r="K48" s="1" t="s">
        <v>57</v>
      </c>
    </row>
    <row r="49" spans="1:11">
      <c r="A49" s="4" t="s">
        <v>352</v>
      </c>
      <c r="B49" s="4" t="s">
        <v>28</v>
      </c>
      <c r="C49" s="4" t="s">
        <v>349</v>
      </c>
      <c r="D49" s="4">
        <v>281916</v>
      </c>
      <c r="E49" s="4" t="s">
        <v>222</v>
      </c>
      <c r="F49" s="4" t="s">
        <v>447</v>
      </c>
      <c r="G49" s="1" t="b">
        <v>1</v>
      </c>
      <c r="H49" s="1" t="s">
        <v>76</v>
      </c>
      <c r="I49" s="1" t="s">
        <v>38</v>
      </c>
      <c r="J49" s="1" t="s">
        <v>48</v>
      </c>
      <c r="K49" s="1" t="s">
        <v>57</v>
      </c>
    </row>
    <row r="50" spans="1:11">
      <c r="A50" s="4" t="s">
        <v>550</v>
      </c>
      <c r="B50" s="4" t="s">
        <v>28</v>
      </c>
      <c r="C50" s="4" t="s">
        <v>547</v>
      </c>
      <c r="D50" s="4">
        <v>1720072</v>
      </c>
      <c r="E50" s="4" t="s">
        <v>222</v>
      </c>
      <c r="F50" s="4" t="s">
        <v>824</v>
      </c>
      <c r="G50" s="1" t="b">
        <v>1</v>
      </c>
      <c r="H50" s="1" t="s">
        <v>76</v>
      </c>
      <c r="I50" s="1" t="s">
        <v>38</v>
      </c>
      <c r="J50" s="1" t="s">
        <v>48</v>
      </c>
      <c r="K50" s="1" t="s">
        <v>57</v>
      </c>
    </row>
    <row r="51" spans="1:11">
      <c r="A51" s="4" t="s">
        <v>357</v>
      </c>
      <c r="B51" s="4" t="s">
        <v>28</v>
      </c>
      <c r="C51" s="4" t="s">
        <v>263</v>
      </c>
      <c r="D51" s="4">
        <v>38910</v>
      </c>
      <c r="E51" s="4" t="s">
        <v>74</v>
      </c>
      <c r="F51" s="4" t="s">
        <v>448</v>
      </c>
      <c r="G51" s="1" t="b">
        <v>1</v>
      </c>
      <c r="H51" s="1" t="s">
        <v>76</v>
      </c>
      <c r="I51" s="1" t="s">
        <v>38</v>
      </c>
      <c r="J51" s="1" t="s">
        <v>48</v>
      </c>
      <c r="K51" s="1" t="s">
        <v>57</v>
      </c>
    </row>
    <row r="52" spans="1:11">
      <c r="A52" s="4" t="s">
        <v>352</v>
      </c>
      <c r="B52" s="4" t="s">
        <v>28</v>
      </c>
      <c r="C52" s="4" t="s">
        <v>349</v>
      </c>
      <c r="D52" s="4">
        <v>281972</v>
      </c>
      <c r="E52" s="4" t="s">
        <v>74</v>
      </c>
      <c r="F52" s="4" t="s">
        <v>449</v>
      </c>
      <c r="G52" s="1" t="b">
        <v>1</v>
      </c>
      <c r="H52" s="1" t="s">
        <v>76</v>
      </c>
      <c r="I52" s="1" t="s">
        <v>38</v>
      </c>
      <c r="J52" s="1" t="s">
        <v>48</v>
      </c>
      <c r="K52" s="1" t="s">
        <v>57</v>
      </c>
    </row>
    <row r="53" spans="1:11">
      <c r="A53" s="4" t="s">
        <v>352</v>
      </c>
      <c r="B53" s="4" t="s">
        <v>428</v>
      </c>
      <c r="C53" s="4" t="s">
        <v>349</v>
      </c>
      <c r="D53" s="4">
        <v>9763</v>
      </c>
      <c r="E53" s="4" t="s">
        <v>74</v>
      </c>
      <c r="F53" s="4" t="s">
        <v>450</v>
      </c>
      <c r="G53" s="1" t="b">
        <v>1</v>
      </c>
      <c r="H53" s="1" t="s">
        <v>76</v>
      </c>
      <c r="I53" s="1" t="s">
        <v>38</v>
      </c>
      <c r="J53" s="1" t="s">
        <v>48</v>
      </c>
      <c r="K53" s="1" t="s">
        <v>57</v>
      </c>
    </row>
    <row r="54" spans="1:11">
      <c r="A54" s="4" t="s">
        <v>352</v>
      </c>
      <c r="B54" s="4" t="s">
        <v>428</v>
      </c>
      <c r="C54" s="4" t="s">
        <v>349</v>
      </c>
      <c r="D54" s="4">
        <v>9764</v>
      </c>
      <c r="E54" s="4" t="s">
        <v>74</v>
      </c>
      <c r="F54" s="4" t="s">
        <v>451</v>
      </c>
      <c r="G54" s="1" t="b">
        <v>1</v>
      </c>
      <c r="H54" s="1" t="s">
        <v>76</v>
      </c>
      <c r="I54" s="1" t="s">
        <v>38</v>
      </c>
      <c r="J54" s="1" t="s">
        <v>48</v>
      </c>
      <c r="K54" s="1" t="s">
        <v>57</v>
      </c>
    </row>
    <row r="55" spans="1:11">
      <c r="A55" s="4" t="s">
        <v>136</v>
      </c>
      <c r="B55" s="4" t="s">
        <v>28</v>
      </c>
      <c r="C55" s="4" t="s">
        <v>134</v>
      </c>
      <c r="D55" s="4">
        <v>8000828</v>
      </c>
      <c r="E55" s="4" t="s">
        <v>74</v>
      </c>
      <c r="F55" s="4" t="s">
        <v>452</v>
      </c>
      <c r="G55" s="1" t="b">
        <v>1</v>
      </c>
      <c r="H55" s="1" t="s">
        <v>76</v>
      </c>
      <c r="I55" s="1" t="s">
        <v>38</v>
      </c>
      <c r="J55" s="1" t="s">
        <v>48</v>
      </c>
      <c r="K55" s="1" t="s">
        <v>57</v>
      </c>
    </row>
    <row r="56" spans="1:11">
      <c r="A56" s="4" t="s">
        <v>555</v>
      </c>
      <c r="B56" s="4" t="s">
        <v>28</v>
      </c>
      <c r="C56" s="4" t="s">
        <v>77</v>
      </c>
      <c r="D56" s="4">
        <v>4245</v>
      </c>
      <c r="E56" s="4" t="s">
        <v>74</v>
      </c>
      <c r="F56" s="4" t="s">
        <v>825</v>
      </c>
      <c r="G56" s="1" t="b">
        <v>1</v>
      </c>
      <c r="H56" s="1" t="s">
        <v>76</v>
      </c>
      <c r="I56" s="1" t="s">
        <v>38</v>
      </c>
      <c r="J56" s="1" t="s">
        <v>48</v>
      </c>
      <c r="K56" s="1" t="s">
        <v>57</v>
      </c>
    </row>
    <row r="57" spans="1:11">
      <c r="A57" s="4" t="s">
        <v>141</v>
      </c>
      <c r="B57" s="4" t="s">
        <v>28</v>
      </c>
      <c r="C57" s="4" t="s">
        <v>558</v>
      </c>
      <c r="D57" s="4">
        <v>4386812</v>
      </c>
      <c r="E57" s="4" t="s">
        <v>74</v>
      </c>
      <c r="F57" s="4" t="s">
        <v>826</v>
      </c>
      <c r="G57" s="1" t="b">
        <v>1</v>
      </c>
      <c r="H57" s="1" t="s">
        <v>76</v>
      </c>
      <c r="I57" s="1" t="s">
        <v>38</v>
      </c>
      <c r="J57" s="1" t="s">
        <v>48</v>
      </c>
      <c r="K57" s="1" t="s">
        <v>57</v>
      </c>
    </row>
    <row r="58" spans="1:11">
      <c r="A58" s="4" t="s">
        <v>136</v>
      </c>
      <c r="B58" s="4" t="s">
        <v>28</v>
      </c>
      <c r="C58" s="4" t="s">
        <v>134</v>
      </c>
      <c r="D58" s="4">
        <v>8002489</v>
      </c>
      <c r="E58" s="4" t="s">
        <v>228</v>
      </c>
      <c r="F58" s="4" t="s">
        <v>453</v>
      </c>
      <c r="G58" s="1" t="b">
        <v>1</v>
      </c>
      <c r="H58" s="1" t="s">
        <v>76</v>
      </c>
      <c r="I58" s="1" t="s">
        <v>38</v>
      </c>
      <c r="J58" s="1" t="s">
        <v>48</v>
      </c>
      <c r="K58" s="1" t="s">
        <v>57</v>
      </c>
    </row>
    <row r="59" spans="1:11">
      <c r="A59" s="4" t="s">
        <v>563</v>
      </c>
      <c r="B59" s="4" t="s">
        <v>28</v>
      </c>
      <c r="C59" s="4" t="s">
        <v>77</v>
      </c>
      <c r="D59" s="4">
        <v>733</v>
      </c>
      <c r="E59" s="4" t="s">
        <v>827</v>
      </c>
      <c r="F59" s="4" t="s">
        <v>828</v>
      </c>
      <c r="G59" s="1" t="b">
        <v>1</v>
      </c>
      <c r="H59" s="1" t="s">
        <v>76</v>
      </c>
      <c r="I59" s="1" t="s">
        <v>38</v>
      </c>
      <c r="J59" s="1" t="s">
        <v>48</v>
      </c>
      <c r="K59" s="1" t="s">
        <v>57</v>
      </c>
    </row>
    <row r="60" spans="1:11">
      <c r="A60" s="4" t="s">
        <v>136</v>
      </c>
      <c r="B60" s="4" t="s">
        <v>28</v>
      </c>
      <c r="C60" s="4" t="s">
        <v>134</v>
      </c>
      <c r="D60" s="4">
        <v>8012062</v>
      </c>
      <c r="E60" s="4" t="s">
        <v>827</v>
      </c>
      <c r="F60" s="4" t="s">
        <v>829</v>
      </c>
      <c r="G60" s="1" t="b">
        <v>1</v>
      </c>
      <c r="H60" s="1" t="s">
        <v>76</v>
      </c>
      <c r="I60" s="1" t="s">
        <v>38</v>
      </c>
      <c r="J60" s="1" t="s">
        <v>48</v>
      </c>
      <c r="K60" s="1" t="s">
        <v>57</v>
      </c>
    </row>
    <row r="61" spans="1:11">
      <c r="A61" s="4" t="s">
        <v>136</v>
      </c>
      <c r="B61" s="4" t="s">
        <v>28</v>
      </c>
      <c r="C61" s="4" t="s">
        <v>575</v>
      </c>
      <c r="D61" s="4">
        <v>14949167</v>
      </c>
      <c r="E61" s="4" t="s">
        <v>830</v>
      </c>
      <c r="F61" s="4" t="s">
        <v>831</v>
      </c>
      <c r="G61" s="1" t="b">
        <v>1</v>
      </c>
      <c r="H61" s="1" t="s">
        <v>76</v>
      </c>
      <c r="I61" s="1" t="s">
        <v>38</v>
      </c>
      <c r="J61" s="1" t="s">
        <v>48</v>
      </c>
      <c r="K61" s="1" t="s">
        <v>57</v>
      </c>
    </row>
    <row r="62" spans="1:11">
      <c r="A62" s="4" t="s">
        <v>136</v>
      </c>
      <c r="B62" s="4" t="s">
        <v>28</v>
      </c>
      <c r="C62" s="4" t="s">
        <v>578</v>
      </c>
      <c r="D62" s="4">
        <v>1059522</v>
      </c>
      <c r="E62" s="4" t="s">
        <v>830</v>
      </c>
      <c r="F62" s="4" t="s">
        <v>832</v>
      </c>
      <c r="G62" s="1" t="b">
        <v>1</v>
      </c>
      <c r="H62" s="1" t="s">
        <v>76</v>
      </c>
      <c r="I62" s="1" t="s">
        <v>38</v>
      </c>
      <c r="J62" s="1" t="s">
        <v>48</v>
      </c>
      <c r="K62" s="1" t="s">
        <v>57</v>
      </c>
    </row>
    <row r="63" spans="1:11">
      <c r="A63" s="4" t="s">
        <v>136</v>
      </c>
      <c r="B63" s="4" t="s">
        <v>28</v>
      </c>
      <c r="C63" s="4" t="s">
        <v>575</v>
      </c>
      <c r="D63" s="4">
        <v>14949519</v>
      </c>
      <c r="E63" s="4" t="s">
        <v>830</v>
      </c>
      <c r="F63" s="4" t="s">
        <v>833</v>
      </c>
      <c r="G63" s="1" t="b">
        <v>1</v>
      </c>
      <c r="H63" s="1" t="s">
        <v>76</v>
      </c>
      <c r="I63" s="1" t="s">
        <v>38</v>
      </c>
      <c r="J63" s="1" t="s">
        <v>48</v>
      </c>
      <c r="K63" s="1" t="s">
        <v>57</v>
      </c>
    </row>
    <row r="64" spans="1:11">
      <c r="A64" s="4" t="s">
        <v>586</v>
      </c>
      <c r="B64" s="4" t="s">
        <v>28</v>
      </c>
      <c r="C64" s="4" t="s">
        <v>583</v>
      </c>
      <c r="D64" s="4">
        <v>545212</v>
      </c>
      <c r="E64" s="4" t="s">
        <v>834</v>
      </c>
      <c r="F64" s="4" t="s">
        <v>835</v>
      </c>
      <c r="G64" s="1" t="b">
        <v>1</v>
      </c>
      <c r="H64" s="1" t="s">
        <v>76</v>
      </c>
      <c r="I64" s="1" t="s">
        <v>38</v>
      </c>
      <c r="J64" s="1" t="s">
        <v>48</v>
      </c>
      <c r="K64" s="1" t="s">
        <v>57</v>
      </c>
    </row>
    <row r="65" spans="1:11">
      <c r="A65" s="4" t="s">
        <v>591</v>
      </c>
      <c r="B65" s="4" t="s">
        <v>28</v>
      </c>
      <c r="C65" s="4" t="s">
        <v>261</v>
      </c>
      <c r="D65" s="4">
        <v>12286</v>
      </c>
      <c r="E65" s="4" t="s">
        <v>834</v>
      </c>
      <c r="F65" s="4" t="s">
        <v>836</v>
      </c>
      <c r="G65" s="1" t="b">
        <v>1</v>
      </c>
      <c r="H65" s="1" t="s">
        <v>76</v>
      </c>
      <c r="I65" s="1" t="s">
        <v>38</v>
      </c>
      <c r="J65" s="1" t="s">
        <v>48</v>
      </c>
      <c r="K65" s="1" t="s">
        <v>57</v>
      </c>
    </row>
    <row r="66" spans="1:11">
      <c r="A66" s="4" t="s">
        <v>586</v>
      </c>
      <c r="B66" s="4" t="s">
        <v>28</v>
      </c>
      <c r="C66" s="4" t="s">
        <v>583</v>
      </c>
      <c r="D66" s="4">
        <v>545309</v>
      </c>
      <c r="E66" s="4" t="s">
        <v>834</v>
      </c>
      <c r="F66" s="4" t="s">
        <v>835</v>
      </c>
      <c r="G66" s="1" t="b">
        <v>1</v>
      </c>
      <c r="H66" s="1" t="s">
        <v>76</v>
      </c>
      <c r="I66" s="1" t="s">
        <v>38</v>
      </c>
      <c r="J66" s="1" t="s">
        <v>48</v>
      </c>
      <c r="K66" s="1" t="s">
        <v>57</v>
      </c>
    </row>
    <row r="67" spans="1:11">
      <c r="A67" s="4" t="s">
        <v>141</v>
      </c>
      <c r="B67" s="4" t="s">
        <v>28</v>
      </c>
      <c r="C67" s="4" t="s">
        <v>558</v>
      </c>
      <c r="D67" s="4">
        <v>4400601</v>
      </c>
      <c r="E67" s="4" t="s">
        <v>834</v>
      </c>
      <c r="F67" s="4" t="s">
        <v>826</v>
      </c>
      <c r="G67" s="1" t="b">
        <v>1</v>
      </c>
      <c r="H67" s="1" t="s">
        <v>76</v>
      </c>
      <c r="I67" s="1" t="s">
        <v>38</v>
      </c>
      <c r="J67" s="1" t="s">
        <v>48</v>
      </c>
      <c r="K67" s="1" t="s">
        <v>57</v>
      </c>
    </row>
    <row r="68" spans="1:11">
      <c r="A68" s="4" t="s">
        <v>136</v>
      </c>
      <c r="B68" s="4" t="s">
        <v>28</v>
      </c>
      <c r="C68" s="4" t="s">
        <v>134</v>
      </c>
      <c r="D68" s="4">
        <v>8020497</v>
      </c>
      <c r="E68" s="4" t="s">
        <v>834</v>
      </c>
      <c r="F68" s="4" t="s">
        <v>837</v>
      </c>
      <c r="G68" s="1" t="b">
        <v>1</v>
      </c>
      <c r="H68" s="1" t="s">
        <v>76</v>
      </c>
      <c r="I68" s="1" t="s">
        <v>38</v>
      </c>
      <c r="J68" s="1" t="s">
        <v>48</v>
      </c>
      <c r="K68" s="1" t="s">
        <v>57</v>
      </c>
    </row>
    <row r="69" spans="1:11">
      <c r="A69" s="4" t="s">
        <v>136</v>
      </c>
      <c r="B69" s="4" t="s">
        <v>28</v>
      </c>
      <c r="C69" s="4" t="s">
        <v>134</v>
      </c>
      <c r="D69" s="4">
        <v>8028487</v>
      </c>
      <c r="E69" s="4" t="s">
        <v>223</v>
      </c>
      <c r="F69" s="4" t="s">
        <v>838</v>
      </c>
      <c r="G69" s="1" t="b">
        <v>1</v>
      </c>
      <c r="H69" s="1" t="s">
        <v>76</v>
      </c>
      <c r="I69" s="1" t="s">
        <v>38</v>
      </c>
      <c r="J69" s="1" t="s">
        <v>48</v>
      </c>
      <c r="K69" s="1" t="s">
        <v>57</v>
      </c>
    </row>
    <row r="70" spans="1:11">
      <c r="A70" s="4" t="s">
        <v>136</v>
      </c>
      <c r="B70" s="4" t="s">
        <v>28</v>
      </c>
      <c r="C70" s="4" t="s">
        <v>134</v>
      </c>
      <c r="D70" s="4">
        <v>8028453</v>
      </c>
      <c r="E70" s="4" t="s">
        <v>223</v>
      </c>
      <c r="F70" s="4" t="s">
        <v>839</v>
      </c>
      <c r="G70" s="1" t="b">
        <v>1</v>
      </c>
      <c r="H70" s="1" t="s">
        <v>76</v>
      </c>
      <c r="I70" s="1" t="s">
        <v>38</v>
      </c>
      <c r="J70" s="1" t="s">
        <v>48</v>
      </c>
      <c r="K70" s="1" t="s">
        <v>57</v>
      </c>
    </row>
    <row r="71" spans="1:11">
      <c r="A71" s="4" t="s">
        <v>368</v>
      </c>
      <c r="B71" s="4" t="s">
        <v>28</v>
      </c>
      <c r="C71" s="4" t="s">
        <v>124</v>
      </c>
      <c r="D71" s="4">
        <v>1427</v>
      </c>
      <c r="E71" s="4" t="s">
        <v>224</v>
      </c>
      <c r="F71" s="4" t="s">
        <v>454</v>
      </c>
      <c r="G71" s="1" t="b">
        <v>1</v>
      </c>
      <c r="H71" s="1" t="s">
        <v>76</v>
      </c>
      <c r="I71" s="1" t="s">
        <v>38</v>
      </c>
      <c r="J71" s="1" t="s">
        <v>48</v>
      </c>
      <c r="K71" s="1" t="s">
        <v>57</v>
      </c>
    </row>
    <row r="72" spans="1:11">
      <c r="A72" s="4" t="s">
        <v>591</v>
      </c>
      <c r="B72" s="4" t="s">
        <v>28</v>
      </c>
      <c r="C72" s="4" t="s">
        <v>261</v>
      </c>
      <c r="D72" s="4">
        <v>12295</v>
      </c>
      <c r="E72" s="4" t="s">
        <v>224</v>
      </c>
      <c r="F72" s="4" t="s">
        <v>840</v>
      </c>
      <c r="G72" s="1" t="b">
        <v>1</v>
      </c>
      <c r="H72" s="1" t="s">
        <v>76</v>
      </c>
      <c r="I72" s="1" t="s">
        <v>38</v>
      </c>
      <c r="J72" s="1" t="s">
        <v>48</v>
      </c>
      <c r="K72" s="1" t="s">
        <v>57</v>
      </c>
    </row>
    <row r="73" spans="1:11">
      <c r="A73" s="4" t="s">
        <v>136</v>
      </c>
      <c r="B73" s="4" t="s">
        <v>28</v>
      </c>
      <c r="C73" s="4" t="s">
        <v>134</v>
      </c>
      <c r="D73" s="4">
        <v>8035245</v>
      </c>
      <c r="E73" s="4" t="s">
        <v>224</v>
      </c>
      <c r="F73" s="4" t="s">
        <v>841</v>
      </c>
      <c r="G73" s="1" t="b">
        <v>1</v>
      </c>
      <c r="H73" s="1" t="s">
        <v>76</v>
      </c>
      <c r="I73" s="1" t="s">
        <v>38</v>
      </c>
      <c r="J73" s="1" t="s">
        <v>48</v>
      </c>
      <c r="K73" s="1" t="s">
        <v>57</v>
      </c>
    </row>
    <row r="74" spans="1:11">
      <c r="A74" s="4" t="s">
        <v>610</v>
      </c>
      <c r="B74" s="4" t="s">
        <v>28</v>
      </c>
      <c r="C74" s="4" t="s">
        <v>77</v>
      </c>
      <c r="D74" s="4">
        <v>117</v>
      </c>
      <c r="E74" s="4" t="s">
        <v>224</v>
      </c>
      <c r="F74" s="4" t="s">
        <v>842</v>
      </c>
      <c r="G74" s="1" t="b">
        <v>1</v>
      </c>
      <c r="H74" s="1" t="s">
        <v>76</v>
      </c>
      <c r="I74" s="1" t="s">
        <v>38</v>
      </c>
      <c r="J74" s="1" t="s">
        <v>48</v>
      </c>
      <c r="K74" s="1" t="s">
        <v>57</v>
      </c>
    </row>
    <row r="75" spans="1:11">
      <c r="A75" s="4" t="s">
        <v>616</v>
      </c>
      <c r="B75" s="4" t="s">
        <v>28</v>
      </c>
      <c r="C75" s="4" t="s">
        <v>77</v>
      </c>
      <c r="D75" s="4">
        <v>343</v>
      </c>
      <c r="E75" s="4" t="s">
        <v>282</v>
      </c>
      <c r="F75" s="4" t="s">
        <v>843</v>
      </c>
      <c r="G75" s="1" t="b">
        <v>1</v>
      </c>
      <c r="H75" s="1" t="s">
        <v>76</v>
      </c>
      <c r="I75" s="1" t="s">
        <v>38</v>
      </c>
      <c r="J75" s="1" t="s">
        <v>48</v>
      </c>
      <c r="K75" s="1" t="s">
        <v>57</v>
      </c>
    </row>
    <row r="76" spans="1:11">
      <c r="A76" s="4" t="s">
        <v>136</v>
      </c>
      <c r="B76" s="4" t="s">
        <v>28</v>
      </c>
      <c r="C76" s="4" t="s">
        <v>134</v>
      </c>
      <c r="D76" s="4">
        <v>8043675</v>
      </c>
      <c r="E76" s="4" t="s">
        <v>282</v>
      </c>
      <c r="F76" s="4" t="s">
        <v>844</v>
      </c>
      <c r="G76" s="1" t="b">
        <v>1</v>
      </c>
      <c r="H76" s="1" t="s">
        <v>76</v>
      </c>
      <c r="I76" s="1" t="s">
        <v>38</v>
      </c>
      <c r="J76" s="1" t="s">
        <v>48</v>
      </c>
      <c r="K76" s="1" t="s">
        <v>57</v>
      </c>
    </row>
    <row r="77" spans="1:11">
      <c r="A77" s="4" t="s">
        <v>136</v>
      </c>
      <c r="B77" s="4" t="s">
        <v>28</v>
      </c>
      <c r="C77" s="4" t="s">
        <v>167</v>
      </c>
      <c r="D77" s="4">
        <v>1683629</v>
      </c>
      <c r="E77" s="4" t="s">
        <v>225</v>
      </c>
      <c r="F77" s="4" t="s">
        <v>181</v>
      </c>
      <c r="G77" s="1" t="b">
        <v>1</v>
      </c>
      <c r="H77" s="1" t="s">
        <v>76</v>
      </c>
      <c r="I77" s="1" t="s">
        <v>38</v>
      </c>
      <c r="J77" s="1" t="s">
        <v>48</v>
      </c>
      <c r="K77" s="1" t="s">
        <v>57</v>
      </c>
    </row>
    <row r="78" spans="1:11">
      <c r="A78" s="4" t="s">
        <v>136</v>
      </c>
      <c r="B78" s="4" t="s">
        <v>28</v>
      </c>
      <c r="C78" s="4" t="s">
        <v>167</v>
      </c>
      <c r="D78" s="4">
        <v>1683607</v>
      </c>
      <c r="E78" s="4" t="s">
        <v>225</v>
      </c>
      <c r="F78" s="4" t="s">
        <v>181</v>
      </c>
      <c r="G78" s="1" t="b">
        <v>1</v>
      </c>
      <c r="H78" s="1" t="s">
        <v>76</v>
      </c>
      <c r="I78" s="1" t="s">
        <v>38</v>
      </c>
      <c r="J78" s="1" t="s">
        <v>48</v>
      </c>
      <c r="K78" s="1" t="s">
        <v>57</v>
      </c>
    </row>
    <row r="79" spans="1:11">
      <c r="A79" s="4" t="s">
        <v>136</v>
      </c>
      <c r="B79" s="4" t="s">
        <v>28</v>
      </c>
      <c r="C79" s="4" t="s">
        <v>134</v>
      </c>
      <c r="D79" s="4">
        <v>8051218</v>
      </c>
      <c r="E79" s="4" t="s">
        <v>225</v>
      </c>
      <c r="F79" s="4" t="s">
        <v>845</v>
      </c>
      <c r="G79" s="1" t="b">
        <v>1</v>
      </c>
      <c r="H79" s="1" t="s">
        <v>76</v>
      </c>
      <c r="I79" s="1" t="s">
        <v>38</v>
      </c>
      <c r="J79" s="1" t="s">
        <v>48</v>
      </c>
      <c r="K79" s="1" t="s">
        <v>57</v>
      </c>
    </row>
    <row r="80" spans="1:11">
      <c r="A80" s="4" t="s">
        <v>136</v>
      </c>
      <c r="B80" s="4" t="s">
        <v>28</v>
      </c>
      <c r="C80" s="4" t="s">
        <v>626</v>
      </c>
      <c r="D80" s="4">
        <v>32649109</v>
      </c>
      <c r="E80" s="4" t="s">
        <v>846</v>
      </c>
      <c r="F80" s="4" t="s">
        <v>847</v>
      </c>
      <c r="G80" s="1" t="b">
        <v>1</v>
      </c>
      <c r="H80" s="1" t="s">
        <v>76</v>
      </c>
      <c r="I80" s="1" t="s">
        <v>38</v>
      </c>
      <c r="J80" s="1" t="s">
        <v>48</v>
      </c>
      <c r="K80" s="1" t="s">
        <v>57</v>
      </c>
    </row>
    <row r="81" spans="1:11">
      <c r="A81" s="4" t="s">
        <v>373</v>
      </c>
      <c r="B81" s="4" t="s">
        <v>28</v>
      </c>
      <c r="C81" s="4" t="s">
        <v>370</v>
      </c>
      <c r="D81" s="4">
        <v>1093</v>
      </c>
      <c r="E81" s="4" t="s">
        <v>433</v>
      </c>
      <c r="F81" s="4" t="s">
        <v>455</v>
      </c>
      <c r="G81" s="1" t="b">
        <v>1</v>
      </c>
      <c r="H81" s="1" t="s">
        <v>76</v>
      </c>
      <c r="I81" s="1" t="s">
        <v>38</v>
      </c>
      <c r="J81" s="1" t="s">
        <v>48</v>
      </c>
      <c r="K81" s="1" t="s">
        <v>57</v>
      </c>
    </row>
    <row r="82" spans="1:11">
      <c r="A82" s="4" t="s">
        <v>632</v>
      </c>
      <c r="B82" s="4" t="s">
        <v>28</v>
      </c>
      <c r="C82" s="4" t="s">
        <v>124</v>
      </c>
      <c r="D82" s="4">
        <v>44864</v>
      </c>
      <c r="E82" s="4" t="s">
        <v>433</v>
      </c>
      <c r="F82" s="4" t="s">
        <v>848</v>
      </c>
      <c r="G82" s="1" t="b">
        <v>1</v>
      </c>
      <c r="H82" s="1" t="s">
        <v>76</v>
      </c>
      <c r="I82" s="1" t="s">
        <v>38</v>
      </c>
      <c r="J82" s="1" t="s">
        <v>48</v>
      </c>
      <c r="K82" s="1" t="s">
        <v>57</v>
      </c>
    </row>
    <row r="83" spans="1:11">
      <c r="A83" s="4" t="s">
        <v>141</v>
      </c>
      <c r="B83" s="4" t="s">
        <v>28</v>
      </c>
      <c r="C83" s="4" t="s">
        <v>635</v>
      </c>
      <c r="D83" s="4">
        <v>21853118</v>
      </c>
      <c r="E83" s="4" t="s">
        <v>433</v>
      </c>
      <c r="F83" s="4" t="s">
        <v>849</v>
      </c>
      <c r="G83" s="1" t="b">
        <v>1</v>
      </c>
      <c r="H83" s="1" t="s">
        <v>76</v>
      </c>
      <c r="I83" s="1" t="s">
        <v>38</v>
      </c>
      <c r="J83" s="1" t="s">
        <v>48</v>
      </c>
      <c r="K83" s="1" t="s">
        <v>57</v>
      </c>
    </row>
    <row r="84" spans="1:11">
      <c r="A84" s="4" t="s">
        <v>136</v>
      </c>
      <c r="B84" s="4" t="s">
        <v>28</v>
      </c>
      <c r="C84" s="4" t="s">
        <v>134</v>
      </c>
      <c r="D84" s="4">
        <v>8056360</v>
      </c>
      <c r="E84" s="4" t="s">
        <v>433</v>
      </c>
      <c r="F84" s="4" t="s">
        <v>850</v>
      </c>
      <c r="G84" s="1" t="b">
        <v>1</v>
      </c>
      <c r="H84" s="1" t="s">
        <v>76</v>
      </c>
      <c r="I84" s="1" t="s">
        <v>38</v>
      </c>
      <c r="J84" s="1" t="s">
        <v>48</v>
      </c>
      <c r="K84" s="1" t="s">
        <v>57</v>
      </c>
    </row>
    <row r="85" spans="1:11">
      <c r="A85" s="4" t="s">
        <v>377</v>
      </c>
      <c r="B85" s="4" t="s">
        <v>28</v>
      </c>
      <c r="C85" s="4" t="s">
        <v>124</v>
      </c>
      <c r="D85" s="4">
        <v>56105</v>
      </c>
      <c r="E85" s="4" t="s">
        <v>229</v>
      </c>
      <c r="F85" s="4" t="s">
        <v>456</v>
      </c>
      <c r="G85" s="1" t="b">
        <v>1</v>
      </c>
      <c r="H85" s="1" t="s">
        <v>76</v>
      </c>
      <c r="I85" s="1" t="s">
        <v>38</v>
      </c>
      <c r="J85" s="1" t="s">
        <v>48</v>
      </c>
      <c r="K85" s="1" t="s">
        <v>57</v>
      </c>
    </row>
    <row r="86" spans="1:11">
      <c r="A86" s="4" t="s">
        <v>136</v>
      </c>
      <c r="B86" s="4" t="s">
        <v>28</v>
      </c>
      <c r="C86" s="4" t="s">
        <v>134</v>
      </c>
      <c r="D86" s="4">
        <v>8060976</v>
      </c>
      <c r="E86" s="4" t="s">
        <v>229</v>
      </c>
      <c r="F86" s="4" t="s">
        <v>851</v>
      </c>
      <c r="G86" s="1" t="b">
        <v>1</v>
      </c>
      <c r="H86" s="1" t="s">
        <v>76</v>
      </c>
      <c r="I86" s="1" t="s">
        <v>38</v>
      </c>
      <c r="J86" s="1" t="s">
        <v>48</v>
      </c>
      <c r="K86" s="1" t="s">
        <v>57</v>
      </c>
    </row>
    <row r="87" spans="1:11">
      <c r="A87" s="4" t="s">
        <v>136</v>
      </c>
      <c r="B87" s="4" t="s">
        <v>28</v>
      </c>
      <c r="C87" s="4" t="s">
        <v>134</v>
      </c>
      <c r="D87" s="4">
        <v>8061014</v>
      </c>
      <c r="E87" s="4" t="s">
        <v>229</v>
      </c>
      <c r="F87" s="4" t="s">
        <v>852</v>
      </c>
      <c r="G87" s="1" t="b">
        <v>1</v>
      </c>
      <c r="H87" s="1" t="s">
        <v>76</v>
      </c>
      <c r="I87" s="1" t="s">
        <v>38</v>
      </c>
      <c r="J87" s="1" t="s">
        <v>48</v>
      </c>
      <c r="K87" s="1" t="s">
        <v>57</v>
      </c>
    </row>
    <row r="88" spans="1:11">
      <c r="A88" s="4" t="s">
        <v>555</v>
      </c>
      <c r="B88" s="4" t="s">
        <v>28</v>
      </c>
      <c r="C88" s="4" t="s">
        <v>77</v>
      </c>
      <c r="D88" s="4">
        <v>4272</v>
      </c>
      <c r="E88" s="4" t="s">
        <v>229</v>
      </c>
      <c r="F88" s="4" t="s">
        <v>853</v>
      </c>
      <c r="G88" s="1" t="b">
        <v>1</v>
      </c>
      <c r="H88" s="1" t="s">
        <v>76</v>
      </c>
      <c r="I88" s="1" t="s">
        <v>38</v>
      </c>
      <c r="J88" s="1" t="s">
        <v>48</v>
      </c>
      <c r="K88" s="1" t="s">
        <v>57</v>
      </c>
    </row>
    <row r="89" spans="1:11">
      <c r="A89" s="4" t="s">
        <v>649</v>
      </c>
      <c r="B89" s="4" t="s">
        <v>28</v>
      </c>
      <c r="C89" s="4" t="s">
        <v>646</v>
      </c>
      <c r="D89" s="4">
        <v>49</v>
      </c>
      <c r="E89" s="4" t="s">
        <v>284</v>
      </c>
      <c r="F89" s="4" t="s">
        <v>854</v>
      </c>
      <c r="G89" s="1" t="b">
        <v>1</v>
      </c>
      <c r="H89" s="1" t="s">
        <v>76</v>
      </c>
      <c r="I89" s="1" t="s">
        <v>38</v>
      </c>
      <c r="J89" s="1" t="s">
        <v>48</v>
      </c>
      <c r="K89" s="1" t="s">
        <v>57</v>
      </c>
    </row>
    <row r="90" spans="1:11">
      <c r="A90" s="4" t="s">
        <v>136</v>
      </c>
      <c r="B90" s="4" t="s">
        <v>28</v>
      </c>
      <c r="C90" s="4" t="s">
        <v>134</v>
      </c>
      <c r="D90" s="4">
        <v>8071884</v>
      </c>
      <c r="E90" s="4" t="s">
        <v>284</v>
      </c>
      <c r="F90" s="4" t="s">
        <v>855</v>
      </c>
      <c r="G90" s="1" t="b">
        <v>1</v>
      </c>
      <c r="H90" s="1" t="s">
        <v>76</v>
      </c>
      <c r="I90" s="1" t="s">
        <v>38</v>
      </c>
      <c r="J90" s="1" t="s">
        <v>48</v>
      </c>
      <c r="K90" s="1" t="s">
        <v>57</v>
      </c>
    </row>
    <row r="91" spans="1:11">
      <c r="A91" s="4" t="s">
        <v>136</v>
      </c>
      <c r="B91" s="4" t="s">
        <v>28</v>
      </c>
      <c r="C91" s="4" t="s">
        <v>167</v>
      </c>
      <c r="D91" s="4">
        <v>1691551</v>
      </c>
      <c r="E91" s="4" t="s">
        <v>285</v>
      </c>
      <c r="F91" s="4" t="s">
        <v>181</v>
      </c>
      <c r="G91" s="1" t="b">
        <v>1</v>
      </c>
      <c r="H91" s="1" t="s">
        <v>76</v>
      </c>
      <c r="I91" s="1" t="s">
        <v>38</v>
      </c>
      <c r="J91" s="1" t="s">
        <v>48</v>
      </c>
      <c r="K91" s="1" t="s">
        <v>57</v>
      </c>
    </row>
    <row r="92" spans="1:11">
      <c r="A92" s="4" t="s">
        <v>382</v>
      </c>
      <c r="B92" s="4" t="s">
        <v>28</v>
      </c>
      <c r="C92" s="4" t="s">
        <v>379</v>
      </c>
      <c r="D92" s="4">
        <v>6848</v>
      </c>
      <c r="E92" s="4" t="s">
        <v>285</v>
      </c>
      <c r="F92" s="4" t="s">
        <v>457</v>
      </c>
      <c r="G92" s="1" t="b">
        <v>1</v>
      </c>
      <c r="H92" s="1" t="s">
        <v>76</v>
      </c>
      <c r="I92" s="1" t="s">
        <v>38</v>
      </c>
      <c r="J92" s="1" t="s">
        <v>48</v>
      </c>
      <c r="K92" s="1" t="s">
        <v>57</v>
      </c>
    </row>
    <row r="93" spans="1:11">
      <c r="A93" s="4" t="s">
        <v>658</v>
      </c>
      <c r="B93" s="4" t="s">
        <v>28</v>
      </c>
      <c r="C93" s="4" t="s">
        <v>77</v>
      </c>
      <c r="D93" s="4">
        <v>9</v>
      </c>
      <c r="E93" s="4" t="s">
        <v>285</v>
      </c>
      <c r="F93" s="4" t="s">
        <v>856</v>
      </c>
      <c r="G93" s="1" t="b">
        <v>1</v>
      </c>
      <c r="H93" s="1" t="s">
        <v>76</v>
      </c>
      <c r="I93" s="1" t="s">
        <v>38</v>
      </c>
      <c r="J93" s="1" t="s">
        <v>48</v>
      </c>
      <c r="K93" s="1" t="s">
        <v>57</v>
      </c>
    </row>
    <row r="94" spans="1:11">
      <c r="A94" s="4" t="s">
        <v>136</v>
      </c>
      <c r="B94" s="4" t="s">
        <v>28</v>
      </c>
      <c r="C94" s="4" t="s">
        <v>134</v>
      </c>
      <c r="D94" s="4">
        <v>8084130</v>
      </c>
      <c r="E94" s="4" t="s">
        <v>285</v>
      </c>
      <c r="F94" s="4" t="s">
        <v>857</v>
      </c>
      <c r="G94" s="1" t="b">
        <v>1</v>
      </c>
      <c r="H94" s="1" t="s">
        <v>76</v>
      </c>
      <c r="I94" s="1" t="s">
        <v>38</v>
      </c>
      <c r="J94" s="1" t="s">
        <v>48</v>
      </c>
      <c r="K94" s="1" t="s">
        <v>57</v>
      </c>
    </row>
    <row r="95" spans="1:11">
      <c r="A95" s="4" t="s">
        <v>136</v>
      </c>
      <c r="B95" s="4" t="s">
        <v>28</v>
      </c>
      <c r="C95" s="4" t="s">
        <v>134</v>
      </c>
      <c r="D95" s="4">
        <v>8087392</v>
      </c>
      <c r="E95" s="4" t="s">
        <v>290</v>
      </c>
      <c r="F95" s="4" t="s">
        <v>858</v>
      </c>
      <c r="G95" s="1" t="b">
        <v>1</v>
      </c>
      <c r="H95" s="1" t="s">
        <v>76</v>
      </c>
      <c r="I95" s="1" t="s">
        <v>38</v>
      </c>
      <c r="J95" s="1" t="s">
        <v>48</v>
      </c>
      <c r="K95" s="1" t="s">
        <v>57</v>
      </c>
    </row>
    <row r="96" spans="1:11">
      <c r="A96" s="4" t="s">
        <v>141</v>
      </c>
      <c r="B96" s="4" t="s">
        <v>28</v>
      </c>
      <c r="C96" s="4" t="s">
        <v>558</v>
      </c>
      <c r="D96" s="4">
        <v>4431337</v>
      </c>
      <c r="E96" s="4" t="s">
        <v>290</v>
      </c>
      <c r="F96" s="4" t="s">
        <v>859</v>
      </c>
      <c r="G96" s="1" t="b">
        <v>1</v>
      </c>
      <c r="H96" s="1" t="s">
        <v>76</v>
      </c>
      <c r="I96" s="1" t="s">
        <v>38</v>
      </c>
      <c r="J96" s="1" t="s">
        <v>48</v>
      </c>
      <c r="K96" s="1" t="s">
        <v>57</v>
      </c>
    </row>
    <row r="97" spans="1:11">
      <c r="A97" s="4" t="s">
        <v>658</v>
      </c>
      <c r="B97" s="4" t="s">
        <v>28</v>
      </c>
      <c r="C97" s="4" t="s">
        <v>77</v>
      </c>
      <c r="D97" s="4">
        <v>11</v>
      </c>
      <c r="E97" s="4" t="s">
        <v>860</v>
      </c>
      <c r="F97" s="4" t="s">
        <v>861</v>
      </c>
      <c r="G97" s="1" t="b">
        <v>1</v>
      </c>
      <c r="H97" s="1" t="s">
        <v>76</v>
      </c>
      <c r="I97" s="1" t="s">
        <v>38</v>
      </c>
      <c r="J97" s="1" t="s">
        <v>48</v>
      </c>
      <c r="K97" s="1" t="s">
        <v>57</v>
      </c>
    </row>
    <row r="98" spans="1:11">
      <c r="A98" s="4" t="s">
        <v>136</v>
      </c>
      <c r="B98" s="4" t="s">
        <v>28</v>
      </c>
      <c r="C98" s="4" t="s">
        <v>134</v>
      </c>
      <c r="D98" s="4">
        <v>8093793</v>
      </c>
      <c r="E98" s="4" t="s">
        <v>862</v>
      </c>
      <c r="F98" s="4" t="s">
        <v>863</v>
      </c>
      <c r="G98" s="1" t="b">
        <v>1</v>
      </c>
      <c r="H98" s="1" t="s">
        <v>76</v>
      </c>
      <c r="I98" s="1" t="s">
        <v>38</v>
      </c>
      <c r="J98" s="1" t="s">
        <v>48</v>
      </c>
      <c r="K98" s="1" t="s">
        <v>57</v>
      </c>
    </row>
    <row r="99" spans="1:11">
      <c r="A99" s="4" t="s">
        <v>386</v>
      </c>
      <c r="B99" s="4" t="s">
        <v>28</v>
      </c>
      <c r="C99" s="4" t="s">
        <v>261</v>
      </c>
      <c r="D99" s="4">
        <v>3080</v>
      </c>
      <c r="E99" s="4" t="s">
        <v>458</v>
      </c>
      <c r="F99" s="4" t="s">
        <v>459</v>
      </c>
      <c r="G99" s="1" t="b">
        <v>1</v>
      </c>
      <c r="H99" s="1" t="s">
        <v>76</v>
      </c>
      <c r="I99" s="1" t="s">
        <v>38</v>
      </c>
      <c r="J99" s="1" t="s">
        <v>48</v>
      </c>
      <c r="K99" s="1" t="s">
        <v>57</v>
      </c>
    </row>
    <row r="100" spans="1:11">
      <c r="A100" s="4" t="s">
        <v>136</v>
      </c>
      <c r="B100" s="4" t="s">
        <v>28</v>
      </c>
      <c r="C100" s="4" t="s">
        <v>626</v>
      </c>
      <c r="D100" s="4">
        <v>33028702</v>
      </c>
      <c r="E100" s="4" t="s">
        <v>458</v>
      </c>
      <c r="F100" s="4" t="s">
        <v>864</v>
      </c>
      <c r="G100" s="1" t="b">
        <v>1</v>
      </c>
      <c r="H100" s="1" t="s">
        <v>76</v>
      </c>
      <c r="I100" s="1" t="s">
        <v>38</v>
      </c>
      <c r="J100" s="1" t="s">
        <v>48</v>
      </c>
      <c r="K100" s="1" t="s">
        <v>57</v>
      </c>
    </row>
    <row r="101" spans="1:11">
      <c r="A101" s="4" t="s">
        <v>136</v>
      </c>
      <c r="B101" s="4" t="s">
        <v>28</v>
      </c>
      <c r="C101" s="4" t="s">
        <v>134</v>
      </c>
      <c r="D101" s="4">
        <v>8105796</v>
      </c>
      <c r="E101" s="4" t="s">
        <v>458</v>
      </c>
      <c r="F101" s="4" t="s">
        <v>865</v>
      </c>
      <c r="G101" s="1" t="b">
        <v>1</v>
      </c>
      <c r="H101" s="1" t="s">
        <v>76</v>
      </c>
      <c r="I101" s="1" t="s">
        <v>38</v>
      </c>
      <c r="J101" s="1" t="s">
        <v>48</v>
      </c>
      <c r="K101" s="1" t="s">
        <v>57</v>
      </c>
    </row>
    <row r="102" spans="1:11">
      <c r="A102" s="4" t="s">
        <v>136</v>
      </c>
      <c r="B102" s="4" t="s">
        <v>28</v>
      </c>
      <c r="C102" s="4" t="s">
        <v>134</v>
      </c>
      <c r="D102" s="4">
        <v>8105754</v>
      </c>
      <c r="E102" s="4" t="s">
        <v>458</v>
      </c>
      <c r="F102" s="4" t="s">
        <v>866</v>
      </c>
      <c r="G102" s="1" t="b">
        <v>1</v>
      </c>
      <c r="H102" s="1" t="s">
        <v>76</v>
      </c>
      <c r="I102" s="1" t="s">
        <v>38</v>
      </c>
      <c r="J102" s="1" t="s">
        <v>48</v>
      </c>
      <c r="K102" s="1" t="s">
        <v>57</v>
      </c>
    </row>
    <row r="103" spans="1:11">
      <c r="A103" s="4" t="s">
        <v>682</v>
      </c>
      <c r="B103" s="4" t="s">
        <v>28</v>
      </c>
      <c r="C103" s="4" t="s">
        <v>77</v>
      </c>
      <c r="D103" s="4">
        <v>191</v>
      </c>
      <c r="E103" s="4" t="s">
        <v>458</v>
      </c>
      <c r="F103" s="4" t="s">
        <v>867</v>
      </c>
      <c r="G103" s="1" t="b">
        <v>1</v>
      </c>
      <c r="H103" s="1" t="s">
        <v>76</v>
      </c>
      <c r="I103" s="1" t="s">
        <v>38</v>
      </c>
      <c r="J103" s="1" t="s">
        <v>48</v>
      </c>
      <c r="K103" s="1" t="s">
        <v>57</v>
      </c>
    </row>
    <row r="104" spans="1:11">
      <c r="A104" s="4" t="s">
        <v>687</v>
      </c>
      <c r="B104" s="4" t="s">
        <v>28</v>
      </c>
      <c r="C104" s="4" t="s">
        <v>77</v>
      </c>
      <c r="D104" s="4">
        <v>3287</v>
      </c>
      <c r="E104" s="4" t="s">
        <v>458</v>
      </c>
      <c r="F104" s="4" t="s">
        <v>868</v>
      </c>
      <c r="G104" s="1" t="b">
        <v>1</v>
      </c>
      <c r="H104" s="1" t="s">
        <v>76</v>
      </c>
      <c r="I104" s="1" t="s">
        <v>38</v>
      </c>
      <c r="J104" s="1" t="s">
        <v>48</v>
      </c>
      <c r="K104" s="1" t="s">
        <v>57</v>
      </c>
    </row>
    <row r="105" spans="1:11">
      <c r="A105" s="4" t="s">
        <v>254</v>
      </c>
      <c r="B105" s="4" t="s">
        <v>28</v>
      </c>
      <c r="C105" s="4" t="s">
        <v>77</v>
      </c>
      <c r="D105" s="4">
        <v>27</v>
      </c>
      <c r="E105" s="4" t="s">
        <v>458</v>
      </c>
      <c r="F105" s="4" t="s">
        <v>287</v>
      </c>
      <c r="G105" s="1" t="b">
        <v>1</v>
      </c>
      <c r="H105" s="1" t="s">
        <v>76</v>
      </c>
      <c r="I105" s="1" t="s">
        <v>38</v>
      </c>
      <c r="J105" s="1" t="s">
        <v>48</v>
      </c>
      <c r="K105" s="1" t="s">
        <v>57</v>
      </c>
    </row>
    <row r="106" spans="1:11">
      <c r="A106" s="4" t="s">
        <v>136</v>
      </c>
      <c r="B106" s="4" t="s">
        <v>28</v>
      </c>
      <c r="C106" s="4" t="s">
        <v>134</v>
      </c>
      <c r="D106" s="4">
        <v>8108967</v>
      </c>
      <c r="E106" s="4" t="s">
        <v>869</v>
      </c>
      <c r="F106" s="4" t="s">
        <v>870</v>
      </c>
      <c r="G106" s="1" t="b">
        <v>1</v>
      </c>
      <c r="H106" s="1" t="s">
        <v>76</v>
      </c>
      <c r="I106" s="1" t="s">
        <v>38</v>
      </c>
      <c r="J106" s="1" t="s">
        <v>48</v>
      </c>
      <c r="K106" s="1" t="s">
        <v>57</v>
      </c>
    </row>
    <row r="107" spans="1:11">
      <c r="A107" s="4" t="s">
        <v>697</v>
      </c>
      <c r="B107" s="4" t="s">
        <v>28</v>
      </c>
      <c r="C107" s="4" t="s">
        <v>124</v>
      </c>
      <c r="D107" s="4">
        <v>4235</v>
      </c>
      <c r="E107" s="4" t="s">
        <v>869</v>
      </c>
      <c r="F107" s="4" t="s">
        <v>871</v>
      </c>
      <c r="G107" s="1" t="b">
        <v>1</v>
      </c>
      <c r="H107" s="1" t="s">
        <v>76</v>
      </c>
      <c r="I107" s="1" t="s">
        <v>38</v>
      </c>
      <c r="J107" s="1" t="s">
        <v>48</v>
      </c>
      <c r="K107" s="1" t="s">
        <v>57</v>
      </c>
    </row>
    <row r="108" spans="1:11">
      <c r="A108" s="4" t="s">
        <v>136</v>
      </c>
      <c r="B108" s="4" t="s">
        <v>28</v>
      </c>
      <c r="C108" s="4" t="s">
        <v>134</v>
      </c>
      <c r="D108" s="4">
        <v>8113826</v>
      </c>
      <c r="E108" s="4" t="s">
        <v>816</v>
      </c>
      <c r="F108" s="4" t="s">
        <v>872</v>
      </c>
      <c r="G108" s="1" t="b">
        <v>1</v>
      </c>
      <c r="H108" s="1" t="s">
        <v>76</v>
      </c>
      <c r="I108" s="1" t="s">
        <v>38</v>
      </c>
      <c r="J108" s="1" t="s">
        <v>48</v>
      </c>
      <c r="K108" s="1" t="s">
        <v>57</v>
      </c>
    </row>
    <row r="109" spans="1:11">
      <c r="A109" s="4" t="s">
        <v>136</v>
      </c>
      <c r="B109" s="4" t="s">
        <v>28</v>
      </c>
      <c r="C109" s="4" t="s">
        <v>702</v>
      </c>
      <c r="D109" s="4">
        <v>6492920</v>
      </c>
      <c r="E109" s="4" t="s">
        <v>816</v>
      </c>
      <c r="F109" s="4" t="s">
        <v>873</v>
      </c>
      <c r="G109" s="1" t="b">
        <v>1</v>
      </c>
      <c r="H109" s="1" t="s">
        <v>76</v>
      </c>
      <c r="I109" s="1" t="s">
        <v>38</v>
      </c>
      <c r="J109" s="1" t="s">
        <v>48</v>
      </c>
      <c r="K109" s="1" t="s">
        <v>57</v>
      </c>
    </row>
    <row r="110" spans="1:11">
      <c r="A110" s="4" t="s">
        <v>141</v>
      </c>
      <c r="B110" s="4" t="s">
        <v>28</v>
      </c>
      <c r="C110" s="4" t="s">
        <v>635</v>
      </c>
      <c r="D110" s="4">
        <v>21937808</v>
      </c>
      <c r="E110" s="4" t="s">
        <v>819</v>
      </c>
      <c r="F110" s="4" t="s">
        <v>874</v>
      </c>
      <c r="G110" s="1" t="b">
        <v>1</v>
      </c>
      <c r="H110" s="1" t="s">
        <v>76</v>
      </c>
      <c r="I110" s="1" t="s">
        <v>38</v>
      </c>
      <c r="J110" s="1" t="s">
        <v>48</v>
      </c>
      <c r="K110" s="1" t="s">
        <v>57</v>
      </c>
    </row>
    <row r="111" spans="1:11">
      <c r="A111" s="4" t="s">
        <v>136</v>
      </c>
      <c r="B111" s="4" t="s">
        <v>28</v>
      </c>
      <c r="C111" s="4" t="s">
        <v>134</v>
      </c>
      <c r="D111" s="4">
        <v>8118308</v>
      </c>
      <c r="E111" s="4" t="s">
        <v>819</v>
      </c>
      <c r="F111" s="4" t="s">
        <v>875</v>
      </c>
      <c r="G111" s="1" t="b">
        <v>1</v>
      </c>
      <c r="H111" s="1" t="s">
        <v>76</v>
      </c>
      <c r="I111" s="1" t="s">
        <v>38</v>
      </c>
      <c r="J111" s="1" t="s">
        <v>48</v>
      </c>
      <c r="K111" s="1" t="s">
        <v>57</v>
      </c>
    </row>
    <row r="112" spans="1:11">
      <c r="A112" s="4" t="s">
        <v>141</v>
      </c>
      <c r="B112" s="4" t="s">
        <v>28</v>
      </c>
      <c r="C112" s="4" t="s">
        <v>709</v>
      </c>
      <c r="D112" s="4">
        <v>15380435</v>
      </c>
      <c r="E112" s="4" t="s">
        <v>819</v>
      </c>
      <c r="F112" s="4" t="s">
        <v>876</v>
      </c>
      <c r="G112" s="1" t="b">
        <v>1</v>
      </c>
      <c r="H112" s="1" t="s">
        <v>76</v>
      </c>
      <c r="I112" s="1" t="s">
        <v>38</v>
      </c>
      <c r="J112" s="1" t="s">
        <v>48</v>
      </c>
      <c r="K112" s="1" t="s">
        <v>57</v>
      </c>
    </row>
    <row r="113" spans="1:11">
      <c r="A113" s="4" t="s">
        <v>141</v>
      </c>
      <c r="B113" s="4" t="s">
        <v>28</v>
      </c>
      <c r="C113" s="4" t="s">
        <v>635</v>
      </c>
      <c r="D113" s="4">
        <v>21937807</v>
      </c>
      <c r="E113" s="4" t="s">
        <v>819</v>
      </c>
      <c r="F113" s="4" t="s">
        <v>877</v>
      </c>
      <c r="G113" s="1" t="b">
        <v>1</v>
      </c>
      <c r="H113" s="1" t="s">
        <v>76</v>
      </c>
      <c r="I113" s="1" t="s">
        <v>38</v>
      </c>
      <c r="J113" s="1" t="s">
        <v>48</v>
      </c>
      <c r="K113" s="1" t="s">
        <v>57</v>
      </c>
    </row>
    <row r="114" spans="1:11">
      <c r="A114" s="4" t="s">
        <v>717</v>
      </c>
      <c r="B114" s="4" t="s">
        <v>28</v>
      </c>
      <c r="C114" s="4" t="s">
        <v>714</v>
      </c>
      <c r="D114" s="4">
        <v>109405</v>
      </c>
      <c r="E114" s="4" t="s">
        <v>819</v>
      </c>
      <c r="F114" s="4" t="s">
        <v>878</v>
      </c>
      <c r="G114" s="1" t="b">
        <v>1</v>
      </c>
      <c r="H114" s="1" t="s">
        <v>76</v>
      </c>
      <c r="I114" s="1" t="s">
        <v>38</v>
      </c>
      <c r="J114" s="1" t="s">
        <v>48</v>
      </c>
      <c r="K114" s="1" t="s">
        <v>57</v>
      </c>
    </row>
    <row r="115" spans="1:11">
      <c r="A115" s="4" t="s">
        <v>722</v>
      </c>
      <c r="B115" s="4" t="s">
        <v>28</v>
      </c>
      <c r="C115" s="4" t="s">
        <v>112</v>
      </c>
      <c r="D115" s="4">
        <v>15956864</v>
      </c>
      <c r="E115" s="4" t="s">
        <v>879</v>
      </c>
      <c r="F115" s="4" t="s">
        <v>880</v>
      </c>
      <c r="G115" s="1" t="b">
        <v>1</v>
      </c>
      <c r="H115" s="1" t="s">
        <v>76</v>
      </c>
      <c r="I115" s="1" t="s">
        <v>38</v>
      </c>
      <c r="J115" s="1" t="s">
        <v>48</v>
      </c>
      <c r="K115" s="1" t="s">
        <v>57</v>
      </c>
    </row>
    <row r="116" spans="1:11">
      <c r="A116" s="4" t="s">
        <v>722</v>
      </c>
      <c r="B116" s="4" t="s">
        <v>28</v>
      </c>
      <c r="C116" s="4" t="s">
        <v>112</v>
      </c>
      <c r="D116" s="4">
        <v>15887264</v>
      </c>
      <c r="E116" s="4" t="s">
        <v>879</v>
      </c>
      <c r="F116" s="4" t="s">
        <v>881</v>
      </c>
      <c r="G116" s="1" t="b">
        <v>1</v>
      </c>
      <c r="H116" s="1" t="s">
        <v>76</v>
      </c>
      <c r="I116" s="1" t="s">
        <v>38</v>
      </c>
      <c r="J116" s="1" t="s">
        <v>48</v>
      </c>
      <c r="K116" s="1" t="s">
        <v>57</v>
      </c>
    </row>
    <row r="117" spans="1:11">
      <c r="A117" s="4" t="s">
        <v>722</v>
      </c>
      <c r="B117" s="4" t="s">
        <v>28</v>
      </c>
      <c r="C117" s="4" t="s">
        <v>112</v>
      </c>
      <c r="D117" s="4">
        <v>16105356</v>
      </c>
      <c r="E117" s="4" t="s">
        <v>879</v>
      </c>
      <c r="F117" s="4" t="s">
        <v>876</v>
      </c>
      <c r="G117" s="1" t="b">
        <v>1</v>
      </c>
      <c r="H117" s="1" t="s">
        <v>76</v>
      </c>
      <c r="I117" s="1" t="s">
        <v>38</v>
      </c>
      <c r="J117" s="1" t="s">
        <v>48</v>
      </c>
      <c r="K117" s="1" t="s">
        <v>57</v>
      </c>
    </row>
    <row r="118" spans="1:11">
      <c r="A118" s="4" t="s">
        <v>268</v>
      </c>
      <c r="B118" s="4" t="s">
        <v>28</v>
      </c>
      <c r="C118" s="4" t="s">
        <v>112</v>
      </c>
      <c r="D118" s="4">
        <v>519</v>
      </c>
      <c r="E118" s="4" t="s">
        <v>222</v>
      </c>
      <c r="F118" s="4" t="s">
        <v>460</v>
      </c>
      <c r="G118" s="1" t="b">
        <v>1</v>
      </c>
      <c r="H118" s="1" t="s">
        <v>76</v>
      </c>
      <c r="I118" s="1" t="s">
        <v>38</v>
      </c>
      <c r="J118" s="1" t="s">
        <v>48</v>
      </c>
      <c r="K118" s="1" t="s">
        <v>57</v>
      </c>
    </row>
    <row r="119" spans="1:11">
      <c r="A119" s="4" t="s">
        <v>268</v>
      </c>
      <c r="B119" s="4" t="s">
        <v>28</v>
      </c>
      <c r="C119" s="4" t="s">
        <v>112</v>
      </c>
      <c r="D119" s="4">
        <v>521</v>
      </c>
      <c r="E119" s="4" t="s">
        <v>834</v>
      </c>
      <c r="F119" s="4" t="s">
        <v>882</v>
      </c>
      <c r="G119" s="1" t="b">
        <v>1</v>
      </c>
      <c r="H119" s="1" t="s">
        <v>76</v>
      </c>
      <c r="I119" s="1" t="s">
        <v>38</v>
      </c>
      <c r="J119" s="1" t="s">
        <v>48</v>
      </c>
      <c r="K119" s="1" t="s">
        <v>57</v>
      </c>
    </row>
    <row r="120" spans="1:11">
      <c r="A120" s="4" t="s">
        <v>293</v>
      </c>
      <c r="B120" s="4" t="s">
        <v>28</v>
      </c>
      <c r="C120" s="4" t="s">
        <v>112</v>
      </c>
      <c r="D120" s="4">
        <v>82446</v>
      </c>
      <c r="E120" s="4" t="s">
        <v>879</v>
      </c>
      <c r="F120" s="4" t="s">
        <v>883</v>
      </c>
      <c r="G120" s="1" t="b">
        <v>1</v>
      </c>
      <c r="H120" s="1" t="s">
        <v>76</v>
      </c>
      <c r="I120" s="1" t="s">
        <v>38</v>
      </c>
      <c r="J120" s="1" t="s">
        <v>48</v>
      </c>
      <c r="K120" s="1" t="s">
        <v>57</v>
      </c>
    </row>
    <row r="121" spans="1:11">
      <c r="A121" s="4" t="s">
        <v>739</v>
      </c>
      <c r="B121" s="4" t="s">
        <v>28</v>
      </c>
      <c r="C121" s="4" t="s">
        <v>736</v>
      </c>
      <c r="D121" s="4">
        <v>364975</v>
      </c>
      <c r="E121" s="4" t="s">
        <v>420</v>
      </c>
      <c r="F121" s="4" t="s">
        <v>884</v>
      </c>
      <c r="G121" s="1" t="b">
        <v>1</v>
      </c>
      <c r="H121" s="1" t="s">
        <v>76</v>
      </c>
      <c r="I121" s="1" t="s">
        <v>38</v>
      </c>
      <c r="J121" s="1" t="s">
        <v>48</v>
      </c>
      <c r="K121" s="1" t="s">
        <v>57</v>
      </c>
    </row>
    <row r="122" spans="1:11">
      <c r="A122" s="4" t="s">
        <v>744</v>
      </c>
      <c r="B122" s="4" t="s">
        <v>28</v>
      </c>
      <c r="C122" s="4" t="s">
        <v>77</v>
      </c>
      <c r="D122" s="4">
        <v>2830</v>
      </c>
      <c r="E122" s="4" t="s">
        <v>221</v>
      </c>
      <c r="F122" s="4" t="s">
        <v>885</v>
      </c>
      <c r="G122" s="1" t="b">
        <v>1</v>
      </c>
      <c r="H122" s="1" t="s">
        <v>76</v>
      </c>
      <c r="I122" s="1" t="s">
        <v>38</v>
      </c>
      <c r="J122" s="1" t="s">
        <v>48</v>
      </c>
      <c r="K122" s="1" t="s">
        <v>57</v>
      </c>
    </row>
    <row r="123" spans="1:11">
      <c r="A123" s="4" t="s">
        <v>749</v>
      </c>
      <c r="B123" s="4" t="s">
        <v>28</v>
      </c>
      <c r="C123" s="4" t="s">
        <v>124</v>
      </c>
      <c r="D123" s="4">
        <v>2230</v>
      </c>
      <c r="E123" s="4" t="s">
        <v>222</v>
      </c>
      <c r="F123" s="4" t="s">
        <v>886</v>
      </c>
      <c r="G123" s="1" t="b">
        <v>1</v>
      </c>
      <c r="H123" s="1" t="s">
        <v>76</v>
      </c>
      <c r="I123" s="1" t="s">
        <v>38</v>
      </c>
      <c r="J123" s="1" t="s">
        <v>48</v>
      </c>
      <c r="K123" s="1" t="s">
        <v>57</v>
      </c>
    </row>
    <row r="124" spans="1:11">
      <c r="A124" s="4" t="s">
        <v>352</v>
      </c>
      <c r="B124" s="4" t="s">
        <v>28</v>
      </c>
      <c r="C124" s="4" t="s">
        <v>349</v>
      </c>
      <c r="D124" s="4">
        <v>281973</v>
      </c>
      <c r="E124" s="4" t="s">
        <v>74</v>
      </c>
      <c r="F124" s="4" t="s">
        <v>887</v>
      </c>
      <c r="G124" s="1" t="b">
        <v>1</v>
      </c>
      <c r="H124" s="1" t="s">
        <v>76</v>
      </c>
      <c r="I124" s="1" t="s">
        <v>38</v>
      </c>
      <c r="J124" s="1" t="s">
        <v>48</v>
      </c>
      <c r="K124" s="1" t="s">
        <v>57</v>
      </c>
    </row>
    <row r="125" spans="1:11">
      <c r="A125" s="4" t="s">
        <v>352</v>
      </c>
      <c r="B125" s="4" t="s">
        <v>28</v>
      </c>
      <c r="C125" s="4" t="s">
        <v>754</v>
      </c>
      <c r="D125" s="4">
        <v>28590</v>
      </c>
      <c r="E125" s="4" t="s">
        <v>228</v>
      </c>
      <c r="F125" s="4" t="s">
        <v>888</v>
      </c>
      <c r="G125" s="1" t="b">
        <v>1</v>
      </c>
      <c r="H125" s="1" t="s">
        <v>76</v>
      </c>
      <c r="I125" s="1" t="s">
        <v>38</v>
      </c>
      <c r="J125" s="1" t="s">
        <v>48</v>
      </c>
      <c r="K125" s="1" t="s">
        <v>57</v>
      </c>
    </row>
    <row r="126" spans="1:11">
      <c r="A126" s="4" t="s">
        <v>759</v>
      </c>
      <c r="B126" s="4" t="s">
        <v>28</v>
      </c>
      <c r="C126" s="4" t="s">
        <v>77</v>
      </c>
      <c r="D126" s="4">
        <v>187</v>
      </c>
      <c r="E126" s="4" t="s">
        <v>223</v>
      </c>
      <c r="F126" s="4" t="s">
        <v>889</v>
      </c>
      <c r="G126" s="1" t="b">
        <v>1</v>
      </c>
      <c r="H126" s="1" t="s">
        <v>76</v>
      </c>
      <c r="I126" s="1" t="s">
        <v>38</v>
      </c>
      <c r="J126" s="1" t="s">
        <v>48</v>
      </c>
      <c r="K126" s="1" t="s">
        <v>57</v>
      </c>
    </row>
    <row r="127" spans="1:11">
      <c r="A127" s="4" t="s">
        <v>764</v>
      </c>
      <c r="B127" s="4" t="s">
        <v>28</v>
      </c>
      <c r="C127" s="4" t="s">
        <v>112</v>
      </c>
      <c r="D127" s="4">
        <v>80079</v>
      </c>
      <c r="E127" s="4" t="s">
        <v>282</v>
      </c>
      <c r="F127" s="4" t="s">
        <v>823</v>
      </c>
      <c r="G127" s="1" t="b">
        <v>1</v>
      </c>
      <c r="H127" s="1" t="s">
        <v>76</v>
      </c>
      <c r="I127" s="1" t="s">
        <v>38</v>
      </c>
      <c r="J127" s="1" t="s">
        <v>48</v>
      </c>
      <c r="K127" s="1" t="s">
        <v>57</v>
      </c>
    </row>
    <row r="128" spans="1:11">
      <c r="A128" s="4" t="s">
        <v>770</v>
      </c>
      <c r="B128" s="4" t="s">
        <v>28</v>
      </c>
      <c r="C128" s="4" t="s">
        <v>767</v>
      </c>
      <c r="D128" s="4">
        <v>2373</v>
      </c>
      <c r="E128" s="4" t="s">
        <v>846</v>
      </c>
      <c r="F128" s="4" t="s">
        <v>890</v>
      </c>
      <c r="G128" s="1" t="b">
        <v>1</v>
      </c>
      <c r="H128" s="1" t="s">
        <v>76</v>
      </c>
      <c r="I128" s="1" t="s">
        <v>38</v>
      </c>
      <c r="J128" s="1" t="s">
        <v>48</v>
      </c>
      <c r="K128" s="1" t="s">
        <v>57</v>
      </c>
    </row>
    <row r="129" spans="1:11">
      <c r="A129" s="4" t="s">
        <v>776</v>
      </c>
      <c r="B129" s="4" t="s">
        <v>28</v>
      </c>
      <c r="C129" s="4" t="s">
        <v>773</v>
      </c>
      <c r="D129" s="4">
        <v>2383633</v>
      </c>
      <c r="E129" s="4" t="s">
        <v>891</v>
      </c>
      <c r="F129" s="4" t="s">
        <v>898</v>
      </c>
      <c r="G129" s="1" t="b">
        <v>1</v>
      </c>
      <c r="H129" s="1" t="s">
        <v>76</v>
      </c>
      <c r="I129" s="1" t="s">
        <v>38</v>
      </c>
      <c r="J129" s="1" t="s">
        <v>48</v>
      </c>
      <c r="K129" s="1" t="s">
        <v>57</v>
      </c>
    </row>
    <row r="130" spans="1:11">
      <c r="A130" s="4" t="s">
        <v>764</v>
      </c>
      <c r="B130" s="4" t="s">
        <v>28</v>
      </c>
      <c r="C130" s="4" t="s">
        <v>646</v>
      </c>
      <c r="D130" s="4">
        <v>42386</v>
      </c>
      <c r="E130" s="4" t="s">
        <v>891</v>
      </c>
      <c r="F130" s="4" t="s">
        <v>892</v>
      </c>
      <c r="G130" s="1" t="b">
        <v>1</v>
      </c>
      <c r="H130" s="1" t="s">
        <v>76</v>
      </c>
      <c r="I130" s="1" t="s">
        <v>38</v>
      </c>
      <c r="J130" s="1" t="s">
        <v>48</v>
      </c>
      <c r="K130" s="1" t="s">
        <v>57</v>
      </c>
    </row>
    <row r="131" spans="1:11">
      <c r="A131" s="4" t="s">
        <v>717</v>
      </c>
      <c r="B131" s="4" t="s">
        <v>28</v>
      </c>
      <c r="C131" s="4" t="s">
        <v>782</v>
      </c>
      <c r="D131" s="4">
        <v>286732</v>
      </c>
      <c r="E131" s="4" t="s">
        <v>891</v>
      </c>
      <c r="F131" s="4" t="s">
        <v>893</v>
      </c>
      <c r="G131" s="1" t="b">
        <v>1</v>
      </c>
      <c r="H131" s="1" t="s">
        <v>76</v>
      </c>
      <c r="I131" s="1" t="s">
        <v>38</v>
      </c>
      <c r="J131" s="1" t="s">
        <v>48</v>
      </c>
      <c r="K131" s="1" t="s">
        <v>57</v>
      </c>
    </row>
    <row r="132" spans="1:11">
      <c r="A132" s="4" t="s">
        <v>776</v>
      </c>
      <c r="B132" s="4" t="s">
        <v>28</v>
      </c>
      <c r="C132" s="4" t="s">
        <v>773</v>
      </c>
      <c r="D132" s="4">
        <v>2320569</v>
      </c>
      <c r="E132" s="4" t="s">
        <v>285</v>
      </c>
      <c r="F132" s="4" t="s">
        <v>901</v>
      </c>
      <c r="G132" s="1" t="b">
        <v>1</v>
      </c>
      <c r="H132" s="1" t="s">
        <v>76</v>
      </c>
      <c r="I132" s="1" t="s">
        <v>38</v>
      </c>
      <c r="J132" s="1" t="s">
        <v>48</v>
      </c>
      <c r="K132" s="1" t="s">
        <v>57</v>
      </c>
    </row>
    <row r="133" spans="1:11">
      <c r="A133" s="4" t="s">
        <v>790</v>
      </c>
      <c r="B133" s="4" t="s">
        <v>28</v>
      </c>
      <c r="C133" s="4" t="s">
        <v>787</v>
      </c>
      <c r="D133" s="4">
        <v>133005</v>
      </c>
      <c r="E133" s="4" t="s">
        <v>285</v>
      </c>
      <c r="F133" s="4" t="s">
        <v>894</v>
      </c>
      <c r="G133" s="1" t="b">
        <v>1</v>
      </c>
      <c r="H133" s="1" t="s">
        <v>76</v>
      </c>
      <c r="I133" s="1" t="s">
        <v>38</v>
      </c>
      <c r="J133" s="1" t="s">
        <v>48</v>
      </c>
      <c r="K133" s="1" t="s">
        <v>57</v>
      </c>
    </row>
    <row r="134" spans="1:11">
      <c r="A134" s="4" t="s">
        <v>396</v>
      </c>
      <c r="B134" s="4" t="s">
        <v>78</v>
      </c>
      <c r="C134" s="4" t="s">
        <v>77</v>
      </c>
      <c r="D134" s="4">
        <v>21</v>
      </c>
      <c r="E134" s="4" t="s">
        <v>226</v>
      </c>
      <c r="F134" s="4" t="s">
        <v>180</v>
      </c>
      <c r="G134" s="1" t="b">
        <v>1</v>
      </c>
      <c r="H134" s="1" t="s">
        <v>76</v>
      </c>
      <c r="I134" s="1" t="s">
        <v>38</v>
      </c>
      <c r="J134" s="1" t="s">
        <v>48</v>
      </c>
      <c r="K134" s="1" t="s">
        <v>57</v>
      </c>
    </row>
    <row r="135" spans="1:11">
      <c r="A135" s="4" t="s">
        <v>399</v>
      </c>
      <c r="B135" s="4" t="s">
        <v>78</v>
      </c>
      <c r="C135" s="4" t="s">
        <v>77</v>
      </c>
      <c r="D135" s="4">
        <v>20</v>
      </c>
      <c r="E135" s="4" t="s">
        <v>224</v>
      </c>
      <c r="F135" s="4" t="s">
        <v>461</v>
      </c>
      <c r="G135" s="1" t="b">
        <v>1</v>
      </c>
      <c r="H135" s="1" t="s">
        <v>76</v>
      </c>
      <c r="I135" s="1" t="s">
        <v>38</v>
      </c>
      <c r="J135" s="1" t="s">
        <v>48</v>
      </c>
      <c r="K135" s="1" t="s">
        <v>57</v>
      </c>
    </row>
    <row r="136" spans="1:11">
      <c r="A136" s="4" t="s">
        <v>399</v>
      </c>
      <c r="B136" s="4" t="s">
        <v>78</v>
      </c>
      <c r="C136" s="4" t="s">
        <v>77</v>
      </c>
      <c r="D136" s="4">
        <v>21</v>
      </c>
      <c r="E136" s="4" t="s">
        <v>224</v>
      </c>
      <c r="F136" s="4" t="s">
        <v>461</v>
      </c>
      <c r="G136" s="1" t="b">
        <v>1</v>
      </c>
      <c r="H136" s="1" t="s">
        <v>76</v>
      </c>
      <c r="I136" s="1" t="s">
        <v>38</v>
      </c>
      <c r="J136" s="1" t="s">
        <v>48</v>
      </c>
      <c r="K136" s="1" t="s">
        <v>57</v>
      </c>
    </row>
    <row r="137" spans="1:11">
      <c r="A137" s="4" t="s">
        <v>403</v>
      </c>
      <c r="B137" s="4" t="s">
        <v>78</v>
      </c>
      <c r="C137" s="4" t="s">
        <v>77</v>
      </c>
      <c r="D137" s="4">
        <v>52</v>
      </c>
      <c r="E137" s="4" t="s">
        <v>224</v>
      </c>
      <c r="F137" s="4" t="s">
        <v>462</v>
      </c>
      <c r="G137" s="1" t="b">
        <v>1</v>
      </c>
      <c r="H137" s="1" t="s">
        <v>76</v>
      </c>
      <c r="I137" s="1" t="s">
        <v>38</v>
      </c>
      <c r="J137" s="1" t="s">
        <v>48</v>
      </c>
      <c r="K137" s="1" t="s">
        <v>57</v>
      </c>
    </row>
    <row r="138" spans="1:11">
      <c r="A138" s="4" t="s">
        <v>406</v>
      </c>
      <c r="B138" s="4" t="s">
        <v>78</v>
      </c>
      <c r="C138" s="4" t="s">
        <v>77</v>
      </c>
      <c r="D138" s="4">
        <v>5</v>
      </c>
      <c r="E138" s="4" t="s">
        <v>282</v>
      </c>
      <c r="F138" s="4" t="s">
        <v>463</v>
      </c>
      <c r="G138" s="1" t="b">
        <v>1</v>
      </c>
      <c r="H138" s="1" t="s">
        <v>76</v>
      </c>
      <c r="I138" s="1" t="s">
        <v>38</v>
      </c>
      <c r="J138" s="1" t="s">
        <v>48</v>
      </c>
      <c r="K138" s="1" t="s">
        <v>57</v>
      </c>
    </row>
    <row r="139" spans="1:11">
      <c r="A139" s="4" t="s">
        <v>409</v>
      </c>
      <c r="B139" s="4" t="s">
        <v>78</v>
      </c>
      <c r="C139" s="4" t="s">
        <v>77</v>
      </c>
      <c r="D139" s="4">
        <v>1</v>
      </c>
      <c r="E139" s="4" t="s">
        <v>282</v>
      </c>
      <c r="F139" s="4" t="s">
        <v>464</v>
      </c>
      <c r="G139" s="1" t="b">
        <v>1</v>
      </c>
      <c r="H139" s="1" t="s">
        <v>76</v>
      </c>
      <c r="I139" s="1" t="s">
        <v>38</v>
      </c>
      <c r="J139" s="1" t="s">
        <v>48</v>
      </c>
      <c r="K139" s="1" t="s">
        <v>57</v>
      </c>
    </row>
    <row r="140" spans="1:11">
      <c r="A140" s="4" t="s">
        <v>413</v>
      </c>
      <c r="B140" s="4" t="s">
        <v>78</v>
      </c>
      <c r="C140" s="4" t="s">
        <v>77</v>
      </c>
      <c r="D140" s="4">
        <v>6</v>
      </c>
      <c r="E140" s="4" t="s">
        <v>282</v>
      </c>
      <c r="F140" s="4" t="s">
        <v>465</v>
      </c>
      <c r="G140" s="1" t="b">
        <v>1</v>
      </c>
      <c r="H140" s="1" t="s">
        <v>76</v>
      </c>
      <c r="I140" s="1" t="s">
        <v>38</v>
      </c>
      <c r="J140" s="1" t="s">
        <v>48</v>
      </c>
      <c r="K140" s="1" t="s">
        <v>57</v>
      </c>
    </row>
    <row r="141" spans="1:11">
      <c r="A141" s="4" t="s">
        <v>417</v>
      </c>
      <c r="B141" s="4" t="s">
        <v>78</v>
      </c>
      <c r="C141" s="4" t="s">
        <v>77</v>
      </c>
      <c r="D141" s="4">
        <v>63</v>
      </c>
      <c r="E141" s="4" t="s">
        <v>284</v>
      </c>
      <c r="F141" s="4" t="s">
        <v>289</v>
      </c>
      <c r="G141" s="1" t="b">
        <v>1</v>
      </c>
      <c r="H141" s="1" t="s">
        <v>76</v>
      </c>
      <c r="I141" s="1" t="s">
        <v>38</v>
      </c>
      <c r="J141" s="1" t="s">
        <v>48</v>
      </c>
      <c r="K141" s="1" t="s">
        <v>57</v>
      </c>
    </row>
    <row r="142" spans="1:11">
      <c r="A142" s="4" t="s">
        <v>280</v>
      </c>
      <c r="B142" s="4" t="s">
        <v>78</v>
      </c>
      <c r="C142" s="4" t="s">
        <v>77</v>
      </c>
      <c r="D142" s="4">
        <v>212</v>
      </c>
      <c r="E142" s="4" t="s">
        <v>284</v>
      </c>
      <c r="F142" s="4" t="s">
        <v>288</v>
      </c>
      <c r="G142" s="1" t="b">
        <v>1</v>
      </c>
      <c r="H142" s="1" t="s">
        <v>76</v>
      </c>
      <c r="I142" s="1" t="s">
        <v>38</v>
      </c>
      <c r="J142" s="1" t="s">
        <v>48</v>
      </c>
      <c r="K142" s="1" t="s">
        <v>57</v>
      </c>
    </row>
    <row r="143" spans="1:11">
      <c r="A143" s="4" t="s">
        <v>795</v>
      </c>
      <c r="B143" s="4" t="s">
        <v>78</v>
      </c>
      <c r="C143" s="4" t="s">
        <v>77</v>
      </c>
      <c r="D143" s="4">
        <v>364</v>
      </c>
      <c r="E143" s="4" t="s">
        <v>290</v>
      </c>
      <c r="F143" s="4" t="s">
        <v>895</v>
      </c>
      <c r="G143" s="1" t="b">
        <v>1</v>
      </c>
      <c r="H143" s="1" t="s">
        <v>76</v>
      </c>
      <c r="I143" s="1" t="s">
        <v>38</v>
      </c>
      <c r="J143" s="1" t="s">
        <v>48</v>
      </c>
      <c r="K143" s="1" t="s">
        <v>57</v>
      </c>
    </row>
    <row r="144" spans="1:11">
      <c r="A144" s="4" t="s">
        <v>795</v>
      </c>
      <c r="B144" s="4" t="s">
        <v>78</v>
      </c>
      <c r="C144" s="4" t="s">
        <v>77</v>
      </c>
      <c r="D144" s="4">
        <v>366</v>
      </c>
      <c r="E144" s="4" t="s">
        <v>860</v>
      </c>
      <c r="F144" s="4" t="s">
        <v>896</v>
      </c>
      <c r="G144" s="1" t="b">
        <v>1</v>
      </c>
      <c r="H144" s="1" t="s">
        <v>76</v>
      </c>
      <c r="I144" s="1" t="s">
        <v>38</v>
      </c>
      <c r="J144" s="1" t="s">
        <v>48</v>
      </c>
      <c r="K144" s="1" t="s">
        <v>57</v>
      </c>
    </row>
    <row r="145" spans="1:11">
      <c r="A145" s="4" t="s">
        <v>802</v>
      </c>
      <c r="B145" s="4" t="s">
        <v>78</v>
      </c>
      <c r="C145" s="4" t="s">
        <v>77</v>
      </c>
      <c r="D145" s="4">
        <v>2</v>
      </c>
      <c r="E145" s="4" t="s">
        <v>862</v>
      </c>
      <c r="F145" s="4" t="s">
        <v>868</v>
      </c>
      <c r="G145" s="1" t="b">
        <v>1</v>
      </c>
      <c r="H145" s="1" t="s">
        <v>76</v>
      </c>
      <c r="I145" s="1" t="s">
        <v>38</v>
      </c>
      <c r="J145" s="1" t="s">
        <v>48</v>
      </c>
      <c r="K145" s="1" t="s">
        <v>57</v>
      </c>
    </row>
    <row r="146" spans="1:11">
      <c r="A146" s="4" t="s">
        <v>413</v>
      </c>
      <c r="B146" s="4" t="s">
        <v>78</v>
      </c>
      <c r="C146" s="4" t="s">
        <v>77</v>
      </c>
      <c r="D146" s="4">
        <v>7</v>
      </c>
      <c r="E146" s="4" t="s">
        <v>862</v>
      </c>
      <c r="F146" s="4" t="s">
        <v>897</v>
      </c>
      <c r="G146" s="1" t="b">
        <v>1</v>
      </c>
      <c r="H146" s="1" t="s">
        <v>76</v>
      </c>
      <c r="I146" s="1" t="s">
        <v>38</v>
      </c>
      <c r="J146" s="1" t="s">
        <v>48</v>
      </c>
      <c r="K146" s="1" t="s">
        <v>57</v>
      </c>
    </row>
    <row r="147" spans="1:11">
      <c r="A147" s="4" t="s">
        <v>809</v>
      </c>
      <c r="B147" s="4" t="s">
        <v>78</v>
      </c>
      <c r="C147" s="4" t="s">
        <v>77</v>
      </c>
      <c r="D147" s="4">
        <v>94</v>
      </c>
      <c r="E147" s="4" t="s">
        <v>458</v>
      </c>
      <c r="F147" s="4" t="s">
        <v>289</v>
      </c>
      <c r="G147" s="1" t="b">
        <v>1</v>
      </c>
      <c r="H147" s="1" t="s">
        <v>76</v>
      </c>
      <c r="I147" s="1" t="s">
        <v>38</v>
      </c>
      <c r="J147" s="1" t="s">
        <v>48</v>
      </c>
      <c r="K147" s="1" t="s">
        <v>57</v>
      </c>
    </row>
    <row r="148" spans="1:11">
      <c r="A148" s="4" t="s">
        <v>406</v>
      </c>
      <c r="B148" s="4" t="s">
        <v>78</v>
      </c>
      <c r="C148" s="4" t="s">
        <v>77</v>
      </c>
      <c r="D148" s="4">
        <v>6</v>
      </c>
      <c r="E148" s="4" t="s">
        <v>458</v>
      </c>
      <c r="F148" s="4" t="s">
        <v>463</v>
      </c>
      <c r="G148" s="1" t="b">
        <v>1</v>
      </c>
      <c r="H148" s="1" t="s">
        <v>76</v>
      </c>
      <c r="I148" s="1" t="s">
        <v>38</v>
      </c>
      <c r="J148" s="1" t="s">
        <v>48</v>
      </c>
      <c r="K148" s="1" t="s">
        <v>57</v>
      </c>
    </row>
    <row r="149" spans="1:11">
      <c r="A149" s="4" t="s">
        <v>809</v>
      </c>
      <c r="B149" s="4" t="s">
        <v>78</v>
      </c>
      <c r="C149" s="4" t="s">
        <v>77</v>
      </c>
      <c r="D149" s="4">
        <v>94</v>
      </c>
      <c r="E149" s="4" t="s">
        <v>458</v>
      </c>
      <c r="F149" s="4" t="s">
        <v>289</v>
      </c>
      <c r="G149" s="1" t="b">
        <v>1</v>
      </c>
      <c r="H149" s="1" t="s">
        <v>76</v>
      </c>
      <c r="I149" s="1" t="s">
        <v>38</v>
      </c>
      <c r="J149" s="1" t="s">
        <v>48</v>
      </c>
      <c r="K149" s="1" t="s">
        <v>57</v>
      </c>
    </row>
    <row r="150" spans="1:11">
      <c r="A150" s="4" t="s">
        <v>406</v>
      </c>
      <c r="B150" s="4" t="s">
        <v>78</v>
      </c>
      <c r="C150" s="4" t="s">
        <v>77</v>
      </c>
      <c r="D150" s="4">
        <v>6</v>
      </c>
      <c r="E150" s="4" t="s">
        <v>458</v>
      </c>
      <c r="F150" s="4" t="s">
        <v>463</v>
      </c>
      <c r="G150" s="1" t="b">
        <v>1</v>
      </c>
      <c r="H150" s="1" t="s">
        <v>76</v>
      </c>
      <c r="I150" s="1" t="s">
        <v>38</v>
      </c>
      <c r="J150" s="1" t="s">
        <v>48</v>
      </c>
      <c r="K150" s="1" t="s">
        <v>57</v>
      </c>
    </row>
  </sheetData>
  <autoFilter ref="A4:M4"/>
  <mergeCells count="3">
    <mergeCell ref="M1:M2"/>
    <mergeCell ref="A1:L1"/>
    <mergeCell ref="A2:L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Leyenda"/>
  <dimension ref="A1:M8"/>
  <sheetViews>
    <sheetView zoomScale="130" zoomScaleNormal="130" workbookViewId="0">
      <selection activeCell="B21" sqref="B21"/>
    </sheetView>
  </sheetViews>
  <sheetFormatPr baseColWidth="10" defaultRowHeight="15"/>
  <cols>
    <col min="1" max="1" width="11" style="1"/>
    <col min="2" max="2" width="33.75" style="1" bestFit="1" customWidth="1"/>
    <col min="3" max="3" width="5.5" style="1" customWidth="1"/>
    <col min="4" max="7" width="11" style="4"/>
    <col min="8" max="8" width="22.5" style="4" bestFit="1" customWidth="1"/>
    <col min="9" max="13" width="11" style="4"/>
    <col min="14" max="16384" width="11" style="1"/>
  </cols>
  <sheetData>
    <row r="1" spans="1:11">
      <c r="A1" s="5" t="s">
        <v>15</v>
      </c>
      <c r="B1" s="5" t="s">
        <v>19</v>
      </c>
      <c r="D1" s="5" t="s">
        <v>31</v>
      </c>
      <c r="E1" s="5" t="s">
        <v>32</v>
      </c>
      <c r="F1" s="5"/>
      <c r="G1" s="5" t="s">
        <v>42</v>
      </c>
      <c r="H1" s="5" t="s">
        <v>43</v>
      </c>
      <c r="I1" s="5"/>
      <c r="J1" s="5" t="s">
        <v>55</v>
      </c>
      <c r="K1" s="5" t="s">
        <v>56</v>
      </c>
    </row>
    <row r="2" spans="1:11">
      <c r="A2" s="1" t="s">
        <v>22</v>
      </c>
      <c r="B2" s="1" t="s">
        <v>21</v>
      </c>
      <c r="D2" s="4" t="s">
        <v>33</v>
      </c>
      <c r="E2" s="4" t="s">
        <v>37</v>
      </c>
      <c r="G2" s="4" t="s">
        <v>30</v>
      </c>
      <c r="H2" s="4" t="s">
        <v>48</v>
      </c>
      <c r="J2" s="4" t="s">
        <v>30</v>
      </c>
      <c r="K2" s="4" t="s">
        <v>57</v>
      </c>
    </row>
    <row r="3" spans="1:11">
      <c r="A3" s="1" t="s">
        <v>7</v>
      </c>
      <c r="B3" s="1" t="s">
        <v>16</v>
      </c>
      <c r="D3" s="4" t="s">
        <v>29</v>
      </c>
      <c r="E3" s="4" t="s">
        <v>38</v>
      </c>
      <c r="G3" s="4" t="s">
        <v>28</v>
      </c>
      <c r="H3" s="4" t="s">
        <v>49</v>
      </c>
      <c r="J3" s="4" t="s">
        <v>58</v>
      </c>
      <c r="K3" s="4" t="s">
        <v>59</v>
      </c>
    </row>
    <row r="4" spans="1:11">
      <c r="A4" s="1" t="s">
        <v>8</v>
      </c>
      <c r="B4" s="1" t="s">
        <v>17</v>
      </c>
      <c r="D4" s="4" t="s">
        <v>34</v>
      </c>
      <c r="E4" s="4" t="s">
        <v>39</v>
      </c>
      <c r="G4" s="4" t="s">
        <v>44</v>
      </c>
      <c r="H4" s="4" t="s">
        <v>50</v>
      </c>
      <c r="J4" s="4" t="s">
        <v>46</v>
      </c>
      <c r="K4" s="4" t="s">
        <v>60</v>
      </c>
    </row>
    <row r="5" spans="1:11">
      <c r="A5" s="1" t="s">
        <v>9</v>
      </c>
      <c r="B5" s="1" t="s">
        <v>18</v>
      </c>
      <c r="D5" s="4" t="s">
        <v>35</v>
      </c>
      <c r="E5" s="4" t="s">
        <v>40</v>
      </c>
      <c r="G5" s="4" t="s">
        <v>27</v>
      </c>
      <c r="H5" s="4" t="s">
        <v>51</v>
      </c>
      <c r="J5" s="4" t="s">
        <v>63</v>
      </c>
      <c r="K5" s="4" t="s">
        <v>61</v>
      </c>
    </row>
    <row r="6" spans="1:11">
      <c r="A6" s="1" t="s">
        <v>10</v>
      </c>
      <c r="B6" s="1" t="s">
        <v>10</v>
      </c>
      <c r="D6" s="4" t="s">
        <v>36</v>
      </c>
      <c r="E6" s="4" t="s">
        <v>41</v>
      </c>
      <c r="G6" s="4" t="s">
        <v>45</v>
      </c>
      <c r="H6" s="4" t="s">
        <v>52</v>
      </c>
      <c r="J6" s="4" t="s">
        <v>64</v>
      </c>
      <c r="K6" s="4" t="s">
        <v>62</v>
      </c>
    </row>
    <row r="7" spans="1:11">
      <c r="G7" s="4" t="s">
        <v>46</v>
      </c>
      <c r="H7" s="4" t="s">
        <v>53</v>
      </c>
    </row>
    <row r="8" spans="1:11">
      <c r="G8" s="4" t="s">
        <v>47</v>
      </c>
      <c r="H8" s="4" t="s">
        <v>54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11"/>
  <sheetViews>
    <sheetView workbookViewId="0">
      <selection activeCell="C18" sqref="C18"/>
    </sheetView>
  </sheetViews>
  <sheetFormatPr baseColWidth="10" defaultRowHeight="16.5"/>
  <cols>
    <col min="1" max="1" width="13.75" customWidth="1"/>
    <col min="4" max="4" width="7.875" customWidth="1"/>
  </cols>
  <sheetData>
    <row r="1" spans="1:6" ht="42.75" thickBot="1">
      <c r="A1" s="16" t="s">
        <v>466</v>
      </c>
      <c r="B1" s="17" t="s">
        <v>467</v>
      </c>
      <c r="C1" s="18" t="s">
        <v>468</v>
      </c>
      <c r="D1" s="17" t="s">
        <v>84</v>
      </c>
      <c r="E1" s="17" t="s">
        <v>469</v>
      </c>
      <c r="F1" s="17" t="s">
        <v>470</v>
      </c>
    </row>
    <row r="2" spans="1:6">
      <c r="A2" s="21" t="s">
        <v>242</v>
      </c>
      <c r="C2" s="20" t="s">
        <v>471</v>
      </c>
      <c r="D2" t="s">
        <v>112</v>
      </c>
      <c r="E2">
        <v>4197</v>
      </c>
      <c r="F2">
        <v>1132.8</v>
      </c>
    </row>
    <row r="3" spans="1:6">
      <c r="A3" s="21" t="s">
        <v>246</v>
      </c>
      <c r="C3" s="20" t="s">
        <v>472</v>
      </c>
      <c r="D3" t="s">
        <v>124</v>
      </c>
      <c r="E3">
        <v>2132</v>
      </c>
      <c r="F3">
        <v>1970.6</v>
      </c>
    </row>
    <row r="4" spans="1:6">
      <c r="A4" s="21" t="s">
        <v>246</v>
      </c>
      <c r="C4" s="20" t="s">
        <v>473</v>
      </c>
      <c r="D4" t="s">
        <v>124</v>
      </c>
      <c r="E4">
        <v>2124</v>
      </c>
      <c r="F4">
        <v>985.3</v>
      </c>
    </row>
    <row r="5" spans="1:6">
      <c r="A5" s="21" t="s">
        <v>267</v>
      </c>
      <c r="C5" s="20" t="s">
        <v>471</v>
      </c>
      <c r="D5" t="s">
        <v>112</v>
      </c>
      <c r="E5">
        <v>524</v>
      </c>
      <c r="F5">
        <v>28196.55</v>
      </c>
    </row>
    <row r="6" spans="1:6">
      <c r="A6" s="21" t="s">
        <v>267</v>
      </c>
      <c r="C6" s="20" t="s">
        <v>471</v>
      </c>
      <c r="D6" t="s">
        <v>112</v>
      </c>
      <c r="E6">
        <v>528</v>
      </c>
      <c r="F6">
        <v>122213.16</v>
      </c>
    </row>
    <row r="7" spans="1:6">
      <c r="A7" s="21"/>
      <c r="C7" s="19"/>
    </row>
    <row r="8" spans="1:6">
      <c r="A8" s="21"/>
      <c r="C8" s="19"/>
    </row>
    <row r="9" spans="1:6">
      <c r="A9" s="21"/>
      <c r="C9" s="20"/>
    </row>
    <row r="10" spans="1:6">
      <c r="C10" s="19"/>
    </row>
    <row r="11" spans="1:6">
      <c r="C11" s="19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Autor"/>
  <dimension ref="A1:D8"/>
  <sheetViews>
    <sheetView showGridLines="0" zoomScale="140" zoomScaleNormal="140" workbookViewId="0"/>
  </sheetViews>
  <sheetFormatPr baseColWidth="10" defaultColWidth="0" defaultRowHeight="0" customHeight="1" zeroHeight="1"/>
  <cols>
    <col min="1" max="1" width="10" style="9" customWidth="1"/>
    <col min="2" max="3" width="25.75" style="9" customWidth="1"/>
    <col min="4" max="4" width="10" style="9" customWidth="1"/>
    <col min="5" max="16384" width="10" style="9" hidden="1"/>
  </cols>
  <sheetData>
    <row r="1" spans="2:3" ht="15"/>
    <row r="2" spans="2:3" ht="15"/>
    <row r="3" spans="2:3" ht="15.75">
      <c r="B3" s="39" t="s">
        <v>66</v>
      </c>
      <c r="C3" s="39"/>
    </row>
    <row r="4" spans="2:3" ht="15" customHeight="1">
      <c r="B4" s="39" t="s">
        <v>67</v>
      </c>
      <c r="C4" s="39"/>
    </row>
    <row r="5" spans="2:3" ht="15"/>
    <row r="6" spans="2:3" ht="15">
      <c r="B6" s="10" t="s">
        <v>68</v>
      </c>
      <c r="C6" s="11" t="s">
        <v>69</v>
      </c>
    </row>
    <row r="7" spans="2:3" ht="15"/>
    <row r="8" spans="2:3" ht="15"/>
  </sheetData>
  <mergeCells count="2">
    <mergeCell ref="B3:C3"/>
    <mergeCell ref="B4:C4"/>
  </mergeCells>
  <hyperlinks>
    <hyperlink ref="B6" r:id="rId1" display="www.tutorialesexcel.com"/>
    <hyperlink ref="C6" r:id="rId2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Token</vt:lpstr>
      <vt:lpstr>R. COMPRAS</vt:lpstr>
      <vt:lpstr>Individual</vt:lpstr>
      <vt:lpstr>Masivo</vt:lpstr>
      <vt:lpstr>Leyenda</vt:lpstr>
      <vt:lpstr>DETRACCION</vt:lpstr>
      <vt:lpstr>Autor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INTEL</cp:lastModifiedBy>
  <cp:revision>0</cp:revision>
  <cp:lastPrinted>2025-06-25T14:35:15Z</cp:lastPrinted>
  <dcterms:modified xsi:type="dcterms:W3CDTF">2025-06-25T14:37:20Z</dcterms:modified>
</cp:coreProperties>
</file>